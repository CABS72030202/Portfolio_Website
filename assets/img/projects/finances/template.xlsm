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qtrsspt-my.sharepoint.com/personal/sebastien_cabana_uqtr_ca/Documents/Implication/GEGI/Documents/"/>
    </mc:Choice>
  </mc:AlternateContent>
  <xr:revisionPtr revIDLastSave="77716" documentId="8_{4271D4FF-7C8D-450C-B11A-111A6EC5F7F5}" xr6:coauthVersionLast="47" xr6:coauthVersionMax="47" xr10:uidLastSave="{0EBF5E18-2AA4-44EE-9CE6-85710C5D4E17}"/>
  <bookViews>
    <workbookView xWindow="-110" yWindow="-110" windowWidth="24220" windowHeight="15500" xr2:uid="{193F067F-B812-4A02-9690-6C475F47DC16}"/>
  </bookViews>
  <sheets>
    <sheet name="Sommaire" sheetId="7" r:id="rId1"/>
    <sheet name="Journal général" sheetId="8" r:id="rId2"/>
    <sheet name="Bilan des comptes" sheetId="9" r:id="rId3"/>
    <sheet name="Suivi budgétaire" sheetId="12" r:id="rId4"/>
    <sheet name="Prévision" sheetId="1" r:id="rId5"/>
    <sheet name="Passation" sheetId="15" r:id="rId6"/>
    <sheet name="États financiers" sheetId="13" state="hidden" r:id="rId7"/>
    <sheet name="Listes" sheetId="6" r:id="rId8"/>
  </sheets>
  <definedNames>
    <definedName name="ajd">Listes!$F$27</definedName>
    <definedName name="categories" localSheetId="6">tab_categories[Catégories]</definedName>
    <definedName name="categories" localSheetId="5">tab_categories[Catégories]</definedName>
    <definedName name="categories">tab_categories[Catégories]</definedName>
    <definedName name="comptes">Listes!$A$28:$A$51</definedName>
    <definedName name="sous_categories">OFFSET(Listes!$C$2,0,MATCH(OFFSET(INDIRECT(ADDRESS(ROW(),COLUMN())),0,-1),Listes!$C$1:$Z$1,0)-1,COUNTA(OFFSET(Listes!$C$2,0,MATCH(OFFSET(INDIRECT(ADDRESS(ROW(),COLUMN())),0,-1),Listes!$C$1:$Z$1,0)-1,1000,1)),1)</definedName>
    <definedName name="taxes">1.14975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9" l="1"/>
  <c r="A2" i="9"/>
  <c r="D78" i="15"/>
  <c r="D73" i="15"/>
  <c r="D69" i="15"/>
  <c r="D64" i="15"/>
  <c r="D61" i="15"/>
  <c r="D44" i="15"/>
  <c r="D34" i="15"/>
  <c r="D21" i="15"/>
  <c r="D17" i="15"/>
  <c r="D13" i="15"/>
  <c r="F9" i="1"/>
  <c r="F10" i="1"/>
  <c r="F11" i="1"/>
  <c r="F12" i="1"/>
  <c r="D49" i="15"/>
  <c r="D57" i="15"/>
  <c r="D8" i="15"/>
  <c r="G57" i="1"/>
  <c r="G61" i="1"/>
  <c r="G64" i="1"/>
  <c r="G85" i="1" s="1"/>
  <c r="G69" i="1"/>
  <c r="G73" i="1"/>
  <c r="G78" i="1"/>
  <c r="F10" i="7"/>
  <c r="F53" i="1"/>
  <c r="F54" i="1"/>
  <c r="F55" i="1"/>
  <c r="F56" i="1"/>
  <c r="E61" i="1"/>
  <c r="G13" i="1"/>
  <c r="A2" i="13"/>
  <c r="A2" i="7"/>
  <c r="G8" i="1"/>
  <c r="F42" i="1"/>
  <c r="F41" i="1"/>
  <c r="D49" i="1"/>
  <c r="E34" i="1"/>
  <c r="D34" i="1"/>
  <c r="E17" i="1"/>
  <c r="D17" i="1"/>
  <c r="F48" i="1"/>
  <c r="G17" i="1"/>
  <c r="F19" i="1"/>
  <c r="F20" i="1"/>
  <c r="G88" i="1"/>
  <c r="F88" i="1"/>
  <c r="E88" i="1"/>
  <c r="D88" i="1"/>
  <c r="G30" i="1"/>
  <c r="F30" i="1"/>
  <c r="E30" i="1"/>
  <c r="D30" i="1"/>
  <c r="D61" i="1"/>
  <c r="F62" i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F36" i="1"/>
  <c r="F37" i="1"/>
  <c r="F38" i="1"/>
  <c r="F34" i="1" s="1"/>
  <c r="F43" i="1"/>
  <c r="F46" i="1"/>
  <c r="F47" i="1"/>
  <c r="F51" i="1"/>
  <c r="F52" i="1"/>
  <c r="F59" i="1"/>
  <c r="F60" i="1"/>
  <c r="F66" i="1"/>
  <c r="F67" i="1"/>
  <c r="F68" i="1"/>
  <c r="F71" i="1"/>
  <c r="F72" i="1"/>
  <c r="F69" i="1" s="1"/>
  <c r="F75" i="1"/>
  <c r="F76" i="1"/>
  <c r="F77" i="1"/>
  <c r="F80" i="1"/>
  <c r="F81" i="1"/>
  <c r="F82" i="1"/>
  <c r="F83" i="1"/>
  <c r="F79" i="1"/>
  <c r="F78" i="1" s="1"/>
  <c r="F74" i="1"/>
  <c r="F70" i="1"/>
  <c r="F65" i="1"/>
  <c r="F64" i="1" s="1"/>
  <c r="F63" i="1"/>
  <c r="F61" i="1" s="1"/>
  <c r="F58" i="1"/>
  <c r="F50" i="1"/>
  <c r="F49" i="1" s="1"/>
  <c r="F45" i="1"/>
  <c r="F44" i="1" s="1"/>
  <c r="F40" i="1"/>
  <c r="F35" i="1"/>
  <c r="F23" i="1"/>
  <c r="F24" i="1"/>
  <c r="F25" i="1"/>
  <c r="F22" i="1"/>
  <c r="F15" i="1"/>
  <c r="F16" i="1"/>
  <c r="F14" i="1"/>
  <c r="F13" i="1" s="1"/>
  <c r="F18" i="1"/>
  <c r="F17" i="1"/>
  <c r="A22" i="6" a="1"/>
  <c r="A22" i="6" s="1"/>
  <c r="A14" i="6" a="1"/>
  <c r="A14" i="6" s="1"/>
  <c r="A16" i="6" a="1"/>
  <c r="A16" i="6" s="1"/>
  <c r="A17" i="6" a="1"/>
  <c r="A17" i="6" s="1"/>
  <c r="A15" i="6" a="1"/>
  <c r="A15" i="6" s="1"/>
  <c r="A19" i="6" a="1"/>
  <c r="A19" i="6" s="1"/>
  <c r="A21" i="6" a="1"/>
  <c r="A21" i="6" s="1"/>
  <c r="A5" i="6" a="1"/>
  <c r="A5" i="6" s="1"/>
  <c r="A12" i="6" a="1"/>
  <c r="A12" i="6" s="1"/>
  <c r="A23" i="6" a="1"/>
  <c r="A23" i="6" s="1"/>
  <c r="A24" i="6" a="1"/>
  <c r="A24" i="6" s="1"/>
  <c r="A3" i="6" a="1"/>
  <c r="A3" i="6" s="1"/>
  <c r="A4" i="6" a="1"/>
  <c r="A4" i="6" s="1"/>
  <c r="A2" i="6" a="1"/>
  <c r="A2" i="6" s="1"/>
  <c r="A6" i="6" a="1"/>
  <c r="A6" i="6" s="1"/>
  <c r="A8" i="6" a="1"/>
  <c r="A8" i="6" s="1"/>
  <c r="A9" i="6" a="1"/>
  <c r="A9" i="6" s="1"/>
  <c r="A10" i="6" a="1"/>
  <c r="A10" i="6" s="1"/>
  <c r="A11" i="6" a="1"/>
  <c r="A11" i="6" s="1"/>
  <c r="A20" i="6" a="1"/>
  <c r="A20" i="6" s="1"/>
  <c r="A18" i="6" a="1"/>
  <c r="A18" i="6" s="1"/>
  <c r="A25" i="6" a="1"/>
  <c r="A25" i="6" s="1"/>
  <c r="A13" i="6" a="1"/>
  <c r="A13" i="6" s="1"/>
  <c r="A7" i="6" a="1"/>
  <c r="A7" i="6" s="1"/>
  <c r="G34" i="1"/>
  <c r="E39" i="1"/>
  <c r="F39" i="1"/>
  <c r="G39" i="1"/>
  <c r="E44" i="1"/>
  <c r="G44" i="1"/>
  <c r="E49" i="1"/>
  <c r="G49" i="1"/>
  <c r="E57" i="1"/>
  <c r="F57" i="1"/>
  <c r="E64" i="1"/>
  <c r="E69" i="1"/>
  <c r="E73" i="1"/>
  <c r="F73" i="1"/>
  <c r="E78" i="1"/>
  <c r="D78" i="1"/>
  <c r="D73" i="1"/>
  <c r="D69" i="1"/>
  <c r="D64" i="1"/>
  <c r="D57" i="1"/>
  <c r="D44" i="1"/>
  <c r="D39" i="1"/>
  <c r="E8" i="1"/>
  <c r="F8" i="1"/>
  <c r="E13" i="1"/>
  <c r="E21" i="1"/>
  <c r="F21" i="1"/>
  <c r="G21" i="1"/>
  <c r="D8" i="1"/>
  <c r="D13" i="1"/>
  <c r="D21" i="1"/>
  <c r="D4" i="9" l="1"/>
  <c r="D20" i="9" s="1"/>
  <c r="D38" i="9" s="1"/>
  <c r="G27" i="1"/>
  <c r="G90" i="1" s="1"/>
  <c r="E85" i="1"/>
  <c r="D85" i="1"/>
  <c r="F85" i="1"/>
  <c r="D8" i="7" s="1"/>
  <c r="F8" i="7" s="1"/>
  <c r="E27" i="1"/>
  <c r="F27" i="1"/>
  <c r="D27" i="1"/>
  <c r="D7" i="7"/>
  <c r="C1" i="6" a="1"/>
  <c r="R2" i="6" a="1"/>
  <c r="H2" i="6" a="1"/>
  <c r="U2" i="6" a="1"/>
  <c r="Z2" i="6" a="1"/>
  <c r="N2" i="6" a="1"/>
  <c r="V2" i="6" a="1"/>
  <c r="O2" i="6" a="1"/>
  <c r="M2" i="6" a="1"/>
  <c r="I2" i="6" a="1"/>
  <c r="F2" i="6" a="1"/>
  <c r="W2" i="6" a="1"/>
  <c r="S2" i="6" a="1"/>
  <c r="J2" i="6" a="1"/>
  <c r="T2" i="6" a="1"/>
  <c r="L2" i="6" a="1"/>
  <c r="P2" i="6" a="1"/>
  <c r="Y2" i="6" a="1"/>
  <c r="K2" i="6" a="1"/>
  <c r="E2" i="6" a="1"/>
  <c r="Q2" i="6" a="1"/>
  <c r="G2" i="6" a="1"/>
  <c r="X2" i="6" a="1"/>
  <c r="D2" i="6" a="1"/>
  <c r="E4" i="9" l="1"/>
  <c r="E20" i="9" s="1"/>
  <c r="E38" i="9" s="1"/>
  <c r="G34" i="9" a="1"/>
  <c r="G34" i="9" s="1"/>
  <c r="G27" i="9" a="1"/>
  <c r="G27" i="9" s="1"/>
  <c r="D31" i="9"/>
  <c r="G29" i="9" a="1"/>
  <c r="G29" i="9" s="1"/>
  <c r="D16" i="9"/>
  <c r="D27" i="9"/>
  <c r="D12" i="9"/>
  <c r="G30" i="9" a="1"/>
  <c r="G30" i="9" s="1"/>
  <c r="D9" i="9"/>
  <c r="G25" i="9" a="1"/>
  <c r="G25" i="9" s="1"/>
  <c r="G24" i="9" s="1"/>
  <c r="D29" i="9"/>
  <c r="D28" i="9"/>
  <c r="G32" i="9" a="1"/>
  <c r="G32" i="9" s="1"/>
  <c r="D32" i="9"/>
  <c r="D14" i="9"/>
  <c r="G10" i="9" a="1"/>
  <c r="G10" i="9" s="1"/>
  <c r="D11" i="9"/>
  <c r="G12" i="9" a="1"/>
  <c r="G12" i="9" s="1"/>
  <c r="D15" i="9"/>
  <c r="G9" i="9" a="1"/>
  <c r="G9" i="9" s="1"/>
  <c r="G28" i="9" a="1"/>
  <c r="G28" i="9" s="1"/>
  <c r="G33" i="9" a="1"/>
  <c r="G33" i="9" s="1"/>
  <c r="G15" i="9" a="1"/>
  <c r="G15" i="9" s="1"/>
  <c r="D33" i="9"/>
  <c r="G16" i="9" a="1"/>
  <c r="G16" i="9" s="1"/>
  <c r="D34" i="9"/>
  <c r="G31" i="9" a="1"/>
  <c r="G31" i="9" s="1"/>
  <c r="D10" i="9"/>
  <c r="D30" i="9"/>
  <c r="D25" i="9"/>
  <c r="D24" i="9" s="1"/>
  <c r="G20" i="9"/>
  <c r="G38" i="9" s="1"/>
  <c r="G11" i="9" a="1"/>
  <c r="G11" i="9" s="1"/>
  <c r="G14" i="9" a="1"/>
  <c r="G14" i="9" s="1"/>
  <c r="D90" i="1"/>
  <c r="F90" i="1"/>
  <c r="D10" i="7" s="1"/>
  <c r="E90" i="1"/>
  <c r="F7" i="7"/>
  <c r="T2" i="6"/>
  <c r="I2" i="6"/>
  <c r="J2" i="6"/>
  <c r="U2" i="6"/>
  <c r="V2" i="6"/>
  <c r="F2" i="6"/>
  <c r="D2" i="6"/>
  <c r="Q2" i="6"/>
  <c r="G2" i="6"/>
  <c r="H2" i="6"/>
  <c r="L2" i="6"/>
  <c r="Z2" i="6"/>
  <c r="S2" i="6"/>
  <c r="M2" i="6"/>
  <c r="X2" i="6"/>
  <c r="Y2" i="6"/>
  <c r="R2" i="6"/>
  <c r="E2" i="6"/>
  <c r="W2" i="6"/>
  <c r="P2" i="6"/>
  <c r="N2" i="6"/>
  <c r="O2" i="6"/>
  <c r="K2" i="6"/>
  <c r="C1" i="6"/>
  <c r="C2" i="6" a="1"/>
  <c r="V3" i="6" a="1"/>
  <c r="M3" i="6" a="1"/>
  <c r="P3" i="6" a="1"/>
  <c r="K3" i="6" a="1"/>
  <c r="Z3" i="6" a="1"/>
  <c r="H3" i="6" a="1"/>
  <c r="O3" i="6" a="1"/>
  <c r="D3" i="6" a="1"/>
  <c r="E3" i="6" a="1"/>
  <c r="N3" i="6" a="1"/>
  <c r="X3" i="6" a="1"/>
  <c r="Q3" i="6" a="1"/>
  <c r="L3" i="6" a="1"/>
  <c r="U3" i="6" a="1"/>
  <c r="G3" i="6" a="1"/>
  <c r="J3" i="6" a="1"/>
  <c r="Y3" i="6" a="1"/>
  <c r="T3" i="6" a="1"/>
  <c r="R3" i="6" a="1"/>
  <c r="F3" i="6" a="1"/>
  <c r="W3" i="6" a="1"/>
  <c r="S3" i="6" a="1"/>
  <c r="I3" i="6" a="1"/>
  <c r="E16" i="9" l="1"/>
  <c r="E27" i="9"/>
  <c r="E28" i="9"/>
  <c r="E30" i="9"/>
  <c r="E34" i="9"/>
  <c r="E25" i="9"/>
  <c r="E24" i="9" s="1"/>
  <c r="D13" i="9"/>
  <c r="E29" i="9"/>
  <c r="E33" i="9"/>
  <c r="E11" i="9"/>
  <c r="E14" i="9"/>
  <c r="E32" i="9"/>
  <c r="E31" i="9"/>
  <c r="E15" i="9"/>
  <c r="E10" i="9"/>
  <c r="F4" i="9"/>
  <c r="E12" i="9"/>
  <c r="E9" i="9"/>
  <c r="D26" i="9"/>
  <c r="D36" i="9" s="1"/>
  <c r="G26" i="9"/>
  <c r="G36" i="9" s="1"/>
  <c r="D8" i="9"/>
  <c r="G13" i="9"/>
  <c r="G8" i="9"/>
  <c r="C2" i="6"/>
  <c r="P3" i="6"/>
  <c r="Y3" i="6"/>
  <c r="Z3" i="6"/>
  <c r="Q3" i="6"/>
  <c r="U3" i="6"/>
  <c r="K3" i="6"/>
  <c r="W3" i="6"/>
  <c r="X3" i="6"/>
  <c r="L3" i="6"/>
  <c r="D3" i="6"/>
  <c r="J3" i="6"/>
  <c r="O3" i="6"/>
  <c r="E3" i="6"/>
  <c r="M3" i="6"/>
  <c r="H3" i="6"/>
  <c r="F3" i="6"/>
  <c r="I3" i="6"/>
  <c r="N3" i="6"/>
  <c r="R3" i="6"/>
  <c r="S3" i="6"/>
  <c r="G3" i="6"/>
  <c r="V3" i="6"/>
  <c r="T3" i="6"/>
  <c r="E4" i="6" a="1"/>
  <c r="G4" i="6" a="1"/>
  <c r="M4" i="6" a="1"/>
  <c r="U4" i="6" a="1"/>
  <c r="D4" i="6" a="1"/>
  <c r="Q4" i="6" a="1"/>
  <c r="S4" i="6" a="1"/>
  <c r="N4" i="6" a="1"/>
  <c r="L4" i="6" a="1"/>
  <c r="C3" i="6" a="1"/>
  <c r="K4" i="6" a="1"/>
  <c r="V4" i="6" a="1"/>
  <c r="W4" i="6" a="1"/>
  <c r="I4" i="6" a="1"/>
  <c r="P4" i="6" a="1"/>
  <c r="H4" i="6" a="1"/>
  <c r="X4" i="6" a="1"/>
  <c r="R4" i="6" a="1"/>
  <c r="T4" i="6" a="1"/>
  <c r="F4" i="6" a="1"/>
  <c r="J4" i="6" a="1"/>
  <c r="Y4" i="6" a="1"/>
  <c r="Z4" i="6" a="1"/>
  <c r="O4" i="6" a="1"/>
  <c r="D18" i="9" l="1"/>
  <c r="D27" i="7" s="1"/>
  <c r="E8" i="9"/>
  <c r="E26" i="9"/>
  <c r="E36" i="9" s="1"/>
  <c r="E43" i="9" s="1"/>
  <c r="F20" i="9"/>
  <c r="F38" i="9" s="1"/>
  <c r="F9" i="9"/>
  <c r="F31" i="9"/>
  <c r="F10" i="9"/>
  <c r="F28" i="9"/>
  <c r="F29" i="9"/>
  <c r="F27" i="9"/>
  <c r="F32" i="9"/>
  <c r="F25" i="9"/>
  <c r="F24" i="9" s="1"/>
  <c r="F16" i="9"/>
  <c r="F33" i="9"/>
  <c r="F34" i="9"/>
  <c r="F11" i="9"/>
  <c r="F14" i="9"/>
  <c r="F15" i="9"/>
  <c r="F30" i="9"/>
  <c r="F12" i="9"/>
  <c r="E13" i="9"/>
  <c r="G18" i="9"/>
  <c r="E27" i="7" s="1"/>
  <c r="F27" i="7" s="1"/>
  <c r="G43" i="9"/>
  <c r="E28" i="7"/>
  <c r="F28" i="7" s="1"/>
  <c r="D28" i="7"/>
  <c r="D43" i="9"/>
  <c r="T4" i="6"/>
  <c r="R4" i="6"/>
  <c r="H4" i="6"/>
  <c r="J4" i="6"/>
  <c r="W4" i="6"/>
  <c r="Z4" i="6"/>
  <c r="V4" i="6"/>
  <c r="N4" i="6"/>
  <c r="M4" i="6"/>
  <c r="D4" i="6"/>
  <c r="Y4" i="6"/>
  <c r="G4" i="6"/>
  <c r="I4" i="6"/>
  <c r="E4" i="6"/>
  <c r="L4" i="6"/>
  <c r="U4" i="6"/>
  <c r="P4" i="6"/>
  <c r="K4" i="6"/>
  <c r="S4" i="6"/>
  <c r="F4" i="6"/>
  <c r="O4" i="6"/>
  <c r="X4" i="6"/>
  <c r="Q4" i="6"/>
  <c r="C3" i="6"/>
  <c r="C4" i="6" a="1"/>
  <c r="H5" i="6" a="1"/>
  <c r="R5" i="6" a="1"/>
  <c r="K5" i="6" a="1"/>
  <c r="J5" i="6" a="1"/>
  <c r="E5" i="6" a="1"/>
  <c r="F5" i="6" a="1"/>
  <c r="I5" i="6" a="1"/>
  <c r="L5" i="6" a="1"/>
  <c r="X5" i="6" a="1"/>
  <c r="P5" i="6" a="1"/>
  <c r="N5" i="6" a="1"/>
  <c r="T5" i="6" a="1"/>
  <c r="V5" i="6" a="1"/>
  <c r="M5" i="6" a="1"/>
  <c r="O5" i="6" a="1"/>
  <c r="Q5" i="6" a="1"/>
  <c r="Y5" i="6" a="1"/>
  <c r="W5" i="6" a="1"/>
  <c r="Z5" i="6" a="1"/>
  <c r="U5" i="6" a="1"/>
  <c r="G5" i="6" a="1"/>
  <c r="S5" i="6" a="1"/>
  <c r="D5" i="6" a="1"/>
  <c r="D42" i="9" l="1"/>
  <c r="D45" i="9" s="1"/>
  <c r="D30" i="7" s="1"/>
  <c r="E18" i="9"/>
  <c r="E42" i="9" s="1"/>
  <c r="E45" i="9" s="1"/>
  <c r="G42" i="9"/>
  <c r="G45" i="9" s="1"/>
  <c r="E30" i="7" s="1"/>
  <c r="F26" i="9"/>
  <c r="F36" i="9" s="1"/>
  <c r="F43" i="9" s="1"/>
  <c r="F8" i="9"/>
  <c r="F13" i="9"/>
  <c r="G5" i="6"/>
  <c r="F5" i="6"/>
  <c r="Q5" i="6"/>
  <c r="S5" i="6"/>
  <c r="L5" i="6"/>
  <c r="Y5" i="6"/>
  <c r="V5" i="6"/>
  <c r="H5" i="6"/>
  <c r="N5" i="6"/>
  <c r="X5" i="6"/>
  <c r="K5" i="6"/>
  <c r="E5" i="6"/>
  <c r="D5" i="6"/>
  <c r="Z5" i="6"/>
  <c r="R5" i="6"/>
  <c r="C4" i="6"/>
  <c r="U5" i="6"/>
  <c r="J5" i="6"/>
  <c r="O5" i="6"/>
  <c r="P5" i="6"/>
  <c r="I5" i="6"/>
  <c r="M5" i="6"/>
  <c r="W5" i="6"/>
  <c r="T5" i="6"/>
  <c r="L6" i="6" a="1"/>
  <c r="K6" i="6" a="1"/>
  <c r="W6" i="6" a="1"/>
  <c r="I6" i="6" a="1"/>
  <c r="F6" i="6" a="1"/>
  <c r="V6" i="6" a="1"/>
  <c r="H6" i="6" a="1"/>
  <c r="O6" i="6" a="1"/>
  <c r="Z6" i="6" a="1"/>
  <c r="Q6" i="6" a="1"/>
  <c r="T6" i="6" a="1"/>
  <c r="G6" i="6" a="1"/>
  <c r="P6" i="6" a="1"/>
  <c r="J6" i="6" a="1"/>
  <c r="S6" i="6" a="1"/>
  <c r="N6" i="6" a="1"/>
  <c r="X6" i="6" a="1"/>
  <c r="C5" i="6" a="1"/>
  <c r="M6" i="6" a="1"/>
  <c r="Y6" i="6" a="1"/>
  <c r="E6" i="6" a="1"/>
  <c r="R6" i="6" a="1"/>
  <c r="U6" i="6" a="1"/>
  <c r="D6" i="6" a="1"/>
  <c r="F18" i="9" l="1"/>
  <c r="F42" i="9" s="1"/>
  <c r="F45" i="9" s="1"/>
  <c r="F30" i="7"/>
  <c r="T6" i="6"/>
  <c r="P6" i="6"/>
  <c r="C5" i="6"/>
  <c r="E6" i="6"/>
  <c r="H6" i="6"/>
  <c r="S6" i="6"/>
  <c r="W6" i="6"/>
  <c r="O6" i="6"/>
  <c r="R6" i="6"/>
  <c r="K6" i="6"/>
  <c r="V6" i="6"/>
  <c r="Q6" i="6"/>
  <c r="M6" i="6"/>
  <c r="J6" i="6"/>
  <c r="Z6" i="6"/>
  <c r="X6" i="6"/>
  <c r="Y6" i="6"/>
  <c r="F6" i="6"/>
  <c r="I6" i="6"/>
  <c r="U6" i="6"/>
  <c r="D6" i="6"/>
  <c r="N6" i="6"/>
  <c r="L6" i="6"/>
  <c r="G6" i="6"/>
  <c r="E7" i="6" a="1"/>
  <c r="F7" i="6" a="1"/>
  <c r="U7" i="6" a="1"/>
  <c r="P7" i="6" a="1"/>
  <c r="K7" i="6" a="1"/>
  <c r="V7" i="6" a="1"/>
  <c r="L7" i="6" a="1"/>
  <c r="Z7" i="6" a="1"/>
  <c r="W7" i="6" a="1"/>
  <c r="G7" i="6" a="1"/>
  <c r="Y7" i="6" a="1"/>
  <c r="D7" i="6" a="1"/>
  <c r="Q7" i="6" a="1"/>
  <c r="O7" i="6" a="1"/>
  <c r="M7" i="6" a="1"/>
  <c r="I7" i="6" a="1"/>
  <c r="C6" i="6" a="1"/>
  <c r="X7" i="6" a="1"/>
  <c r="R7" i="6" a="1"/>
  <c r="N7" i="6" a="1"/>
  <c r="J7" i="6" a="1"/>
  <c r="T7" i="6" a="1"/>
  <c r="S7" i="6" a="1"/>
  <c r="H7" i="6" a="1"/>
  <c r="G7" i="6" l="1"/>
  <c r="U7" i="6"/>
  <c r="X7" i="6"/>
  <c r="Q7" i="6"/>
  <c r="O7" i="6"/>
  <c r="E7" i="6"/>
  <c r="L7" i="6"/>
  <c r="I7" i="6"/>
  <c r="Z7" i="6"/>
  <c r="V7" i="6"/>
  <c r="W7" i="6"/>
  <c r="C6" i="6"/>
  <c r="N7" i="6"/>
  <c r="F7" i="6"/>
  <c r="J7" i="6"/>
  <c r="K7" i="6"/>
  <c r="S7" i="6"/>
  <c r="P7" i="6"/>
  <c r="D7" i="6"/>
  <c r="Y7" i="6"/>
  <c r="M7" i="6"/>
  <c r="R7" i="6"/>
  <c r="H7" i="6"/>
  <c r="T7" i="6"/>
  <c r="C7" i="6" a="1"/>
  <c r="O8" i="6" a="1"/>
  <c r="N8" i="6" a="1"/>
  <c r="Q8" i="6" a="1"/>
  <c r="H8" i="6" a="1"/>
  <c r="Y8" i="6" a="1"/>
  <c r="P8" i="6" a="1"/>
  <c r="E8" i="6" a="1"/>
  <c r="G8" i="6" a="1"/>
  <c r="M8" i="6" a="1"/>
  <c r="S8" i="6" a="1"/>
  <c r="X8" i="6" a="1"/>
  <c r="D8" i="6" a="1"/>
  <c r="F8" i="6" a="1"/>
  <c r="J8" i="6" a="1"/>
  <c r="I8" i="6" a="1"/>
  <c r="T8" i="6" a="1"/>
  <c r="V8" i="6" a="1"/>
  <c r="L8" i="6" a="1"/>
  <c r="R8" i="6" a="1"/>
  <c r="K8" i="6" a="1"/>
  <c r="W8" i="6" a="1"/>
  <c r="U8" i="6" a="1"/>
  <c r="Z8" i="6" a="1"/>
  <c r="Y8" i="6" l="1"/>
  <c r="K8" i="6"/>
  <c r="C7" i="6"/>
  <c r="I8" i="6"/>
  <c r="Q8" i="6"/>
  <c r="H8" i="6"/>
  <c r="D8" i="6"/>
  <c r="J8" i="6"/>
  <c r="W8" i="6"/>
  <c r="L8" i="6"/>
  <c r="X8" i="6"/>
  <c r="R8" i="6"/>
  <c r="P8" i="6"/>
  <c r="F8" i="6"/>
  <c r="V8" i="6"/>
  <c r="E8" i="6"/>
  <c r="U8" i="6"/>
  <c r="T8" i="6"/>
  <c r="M8" i="6"/>
  <c r="S8" i="6"/>
  <c r="N8" i="6"/>
  <c r="Z8" i="6"/>
  <c r="O8" i="6"/>
  <c r="G8" i="6"/>
  <c r="L9" i="6" a="1"/>
  <c r="C8" i="6" a="1"/>
  <c r="J9" i="6" a="1"/>
  <c r="M9" i="6" a="1"/>
  <c r="P9" i="6" a="1"/>
  <c r="S9" i="6" a="1"/>
  <c r="O9" i="6" a="1"/>
  <c r="T9" i="6" a="1"/>
  <c r="E9" i="6" a="1"/>
  <c r="Z9" i="6" a="1"/>
  <c r="R9" i="6" a="1"/>
  <c r="W9" i="6" a="1"/>
  <c r="K9" i="6" a="1"/>
  <c r="H9" i="6" a="1"/>
  <c r="I9" i="6" a="1"/>
  <c r="Q9" i="6" a="1"/>
  <c r="G9" i="6" a="1"/>
  <c r="D9" i="6" a="1"/>
  <c r="X9" i="6" a="1"/>
  <c r="Y9" i="6" a="1"/>
  <c r="V9" i="6" a="1"/>
  <c r="F9" i="6" a="1"/>
  <c r="U9" i="6" a="1"/>
  <c r="N9" i="6" a="1"/>
  <c r="G9" i="6" l="1"/>
  <c r="S9" i="6"/>
  <c r="E9" i="6"/>
  <c r="R9" i="6"/>
  <c r="J9" i="6"/>
  <c r="I9" i="6"/>
  <c r="O9" i="6"/>
  <c r="M9" i="6"/>
  <c r="V9" i="6"/>
  <c r="X9" i="6"/>
  <c r="D9" i="6"/>
  <c r="C8" i="6"/>
  <c r="Z9" i="6"/>
  <c r="T9" i="6"/>
  <c r="F9" i="6"/>
  <c r="L9" i="6"/>
  <c r="H9" i="6"/>
  <c r="K9" i="6"/>
  <c r="N9" i="6"/>
  <c r="U9" i="6"/>
  <c r="P9" i="6"/>
  <c r="W9" i="6"/>
  <c r="Q9" i="6"/>
  <c r="Y9" i="6"/>
  <c r="N10" i="6" a="1"/>
  <c r="Z10" i="6" a="1"/>
  <c r="T10" i="6" a="1"/>
  <c r="P10" i="6" a="1"/>
  <c r="D10" i="6" a="1"/>
  <c r="Q10" i="6" a="1"/>
  <c r="K10" i="6" a="1"/>
  <c r="C9" i="6" a="1"/>
  <c r="W10" i="6" a="1"/>
  <c r="E10" i="6" a="1"/>
  <c r="X10" i="6" a="1"/>
  <c r="I10" i="6" a="1"/>
  <c r="L10" i="6" a="1"/>
  <c r="S10" i="6" a="1"/>
  <c r="Y10" i="6" a="1"/>
  <c r="U10" i="6" a="1"/>
  <c r="G10" i="6" a="1"/>
  <c r="M10" i="6" a="1"/>
  <c r="O10" i="6" a="1"/>
  <c r="F10" i="6" a="1"/>
  <c r="H10" i="6" a="1"/>
  <c r="V10" i="6" a="1"/>
  <c r="R10" i="6" a="1"/>
  <c r="J10" i="6" a="1"/>
  <c r="Y10" i="6" l="1"/>
  <c r="U10" i="6"/>
  <c r="L10" i="6"/>
  <c r="C9" i="6"/>
  <c r="M10" i="6"/>
  <c r="R10" i="6"/>
  <c r="O10" i="6"/>
  <c r="W10" i="6"/>
  <c r="K10" i="6"/>
  <c r="T10" i="6"/>
  <c r="X10" i="6"/>
  <c r="I10" i="6"/>
  <c r="S10" i="6"/>
  <c r="Q10" i="6"/>
  <c r="N10" i="6"/>
  <c r="F10" i="6"/>
  <c r="D10" i="6"/>
  <c r="E10" i="6"/>
  <c r="P10" i="6"/>
  <c r="H10" i="6"/>
  <c r="Z10" i="6"/>
  <c r="V10" i="6"/>
  <c r="J10" i="6"/>
  <c r="G10" i="6"/>
  <c r="R11" i="6" a="1"/>
  <c r="M11" i="6" a="1"/>
  <c r="Q11" i="6" a="1"/>
  <c r="V11" i="6" a="1"/>
  <c r="Y11" i="6" a="1"/>
  <c r="C10" i="6" a="1"/>
  <c r="Z11" i="6" a="1"/>
  <c r="N11" i="6" a="1"/>
  <c r="F11" i="6" a="1"/>
  <c r="K11" i="6" a="1"/>
  <c r="P11" i="6" a="1"/>
  <c r="J11" i="6" a="1"/>
  <c r="W11" i="6" a="1"/>
  <c r="D11" i="6" a="1"/>
  <c r="E11" i="6" a="1"/>
  <c r="H11" i="6" a="1"/>
  <c r="I11" i="6" a="1"/>
  <c r="L11" i="6" a="1"/>
  <c r="T11" i="6" a="1"/>
  <c r="O11" i="6" a="1"/>
  <c r="X11" i="6" a="1"/>
  <c r="G11" i="6" a="1"/>
  <c r="U11" i="6" a="1"/>
  <c r="S11" i="6" a="1"/>
  <c r="G11" i="6" l="1"/>
  <c r="H11" i="6"/>
  <c r="F11" i="6"/>
  <c r="I11" i="6"/>
  <c r="W11" i="6"/>
  <c r="C10" i="6"/>
  <c r="J11" i="6"/>
  <c r="P11" i="6"/>
  <c r="N11" i="6"/>
  <c r="X11" i="6"/>
  <c r="O11" i="6"/>
  <c r="L11" i="6"/>
  <c r="V11" i="6"/>
  <c r="E11" i="6"/>
  <c r="Q11" i="6"/>
  <c r="T11" i="6"/>
  <c r="R11" i="6"/>
  <c r="U11" i="6"/>
  <c r="Z11" i="6"/>
  <c r="D11" i="6"/>
  <c r="S11" i="6"/>
  <c r="K11" i="6"/>
  <c r="M11" i="6"/>
  <c r="Y11" i="6"/>
  <c r="I12" i="6" a="1"/>
  <c r="T12" i="6" a="1"/>
  <c r="Q12" i="6" a="1"/>
  <c r="D12" i="6" a="1"/>
  <c r="L12" i="6" a="1"/>
  <c r="P12" i="6" a="1"/>
  <c r="Y12" i="6" a="1"/>
  <c r="H12" i="6" a="1"/>
  <c r="R12" i="6" a="1"/>
  <c r="X12" i="6" a="1"/>
  <c r="N12" i="6" a="1"/>
  <c r="M12" i="6" a="1"/>
  <c r="J12" i="6" a="1"/>
  <c r="E12" i="6" a="1"/>
  <c r="U12" i="6" a="1"/>
  <c r="V12" i="6" a="1"/>
  <c r="O12" i="6" a="1"/>
  <c r="W12" i="6" a="1"/>
  <c r="G12" i="6" a="1"/>
  <c r="F12" i="6" a="1"/>
  <c r="S12" i="6" a="1"/>
  <c r="Z12" i="6" a="1"/>
  <c r="K12" i="6" a="1"/>
  <c r="C11" i="6" a="1"/>
  <c r="Y12" i="6" l="1"/>
  <c r="D12" i="6"/>
  <c r="T12" i="6"/>
  <c r="L12" i="6"/>
  <c r="P12" i="6"/>
  <c r="I12" i="6"/>
  <c r="M12" i="6"/>
  <c r="Z12" i="6"/>
  <c r="Q12" i="6"/>
  <c r="O12" i="6"/>
  <c r="J12" i="6"/>
  <c r="F12" i="6"/>
  <c r="K12" i="6"/>
  <c r="U12" i="6"/>
  <c r="E12" i="6"/>
  <c r="X12" i="6"/>
  <c r="C11" i="6"/>
  <c r="H12" i="6"/>
  <c r="S12" i="6"/>
  <c r="R12" i="6"/>
  <c r="V12" i="6"/>
  <c r="N12" i="6"/>
  <c r="W12" i="6"/>
  <c r="G12" i="6"/>
  <c r="W13" i="6" a="1"/>
  <c r="G13" i="6" a="1"/>
  <c r="C12" i="6" a="1"/>
  <c r="F13" i="6" a="1"/>
  <c r="M13" i="6" a="1"/>
  <c r="X13" i="6" a="1"/>
  <c r="T13" i="6" a="1"/>
  <c r="O13" i="6" a="1"/>
  <c r="N13" i="6" a="1"/>
  <c r="I13" i="6" a="1"/>
  <c r="R13" i="6" a="1"/>
  <c r="Z13" i="6" a="1"/>
  <c r="K13" i="6" a="1"/>
  <c r="J13" i="6" a="1"/>
  <c r="L13" i="6" a="1"/>
  <c r="U13" i="6" a="1"/>
  <c r="V13" i="6" a="1"/>
  <c r="P13" i="6" a="1"/>
  <c r="Y13" i="6" a="1"/>
  <c r="E13" i="6" a="1"/>
  <c r="S13" i="6" a="1"/>
  <c r="D13" i="6" a="1"/>
  <c r="H13" i="6" a="1"/>
  <c r="Q13" i="6" a="1"/>
  <c r="G13" i="6" l="1"/>
  <c r="R13" i="6"/>
  <c r="X13" i="6"/>
  <c r="L13" i="6"/>
  <c r="W13" i="6"/>
  <c r="S13" i="6"/>
  <c r="E13" i="6"/>
  <c r="J13" i="6"/>
  <c r="M13" i="6"/>
  <c r="T13" i="6"/>
  <c r="Z13" i="6"/>
  <c r="N13" i="6"/>
  <c r="H13" i="6"/>
  <c r="U13" i="6"/>
  <c r="O13" i="6"/>
  <c r="I13" i="6"/>
  <c r="D13" i="6"/>
  <c r="F13" i="6"/>
  <c r="V13" i="6"/>
  <c r="C12" i="6"/>
  <c r="K13" i="6"/>
  <c r="Q13" i="6"/>
  <c r="P13" i="6"/>
  <c r="Y13" i="6"/>
  <c r="E14" i="6" a="1"/>
  <c r="O14" i="6" a="1"/>
  <c r="I14" i="6" a="1"/>
  <c r="H14" i="6" a="1"/>
  <c r="N14" i="6" a="1"/>
  <c r="M14" i="6" a="1"/>
  <c r="G14" i="6" a="1"/>
  <c r="D14" i="6" a="1"/>
  <c r="W14" i="6" a="1"/>
  <c r="V14" i="6" a="1"/>
  <c r="R14" i="6" a="1"/>
  <c r="X14" i="6" a="1"/>
  <c r="T14" i="6" a="1"/>
  <c r="Z14" i="6" a="1"/>
  <c r="S14" i="6" a="1"/>
  <c r="C13" i="6" a="1"/>
  <c r="J14" i="6" a="1"/>
  <c r="P14" i="6" a="1"/>
  <c r="Y14" i="6" a="1"/>
  <c r="U14" i="6" a="1"/>
  <c r="F14" i="6" a="1"/>
  <c r="K14" i="6" a="1"/>
  <c r="Q14" i="6" a="1"/>
  <c r="L14" i="6" a="1"/>
  <c r="Y14" i="6" l="1"/>
  <c r="C13" i="6"/>
  <c r="I14" i="6"/>
  <c r="J14" i="6"/>
  <c r="L14" i="6"/>
  <c r="P14" i="6"/>
  <c r="V14" i="6"/>
  <c r="O14" i="6"/>
  <c r="Z14" i="6"/>
  <c r="E14" i="6"/>
  <c r="X14" i="6"/>
  <c r="Q14" i="6"/>
  <c r="F14" i="6"/>
  <c r="U14" i="6"/>
  <c r="T14" i="6"/>
  <c r="S14" i="6"/>
  <c r="R14" i="6"/>
  <c r="N14" i="6"/>
  <c r="K14" i="6"/>
  <c r="D14" i="6"/>
  <c r="H14" i="6"/>
  <c r="M14" i="6"/>
  <c r="W14" i="6"/>
  <c r="G14" i="6"/>
  <c r="N15" i="6" a="1"/>
  <c r="T15" i="6" a="1"/>
  <c r="E15" i="6" a="1"/>
  <c r="U15" i="6" a="1"/>
  <c r="P15" i="6" a="1"/>
  <c r="K15" i="6" a="1"/>
  <c r="M15" i="6" a="1"/>
  <c r="V15" i="6" a="1"/>
  <c r="Y15" i="6" a="1"/>
  <c r="F15" i="6" a="1"/>
  <c r="W15" i="6" a="1"/>
  <c r="D15" i="6" a="1"/>
  <c r="R15" i="6" a="1"/>
  <c r="X15" i="6" a="1"/>
  <c r="Q15" i="6" a="1"/>
  <c r="Z15" i="6" a="1"/>
  <c r="J15" i="6" a="1"/>
  <c r="O15" i="6" a="1"/>
  <c r="H15" i="6" a="1"/>
  <c r="S15" i="6" a="1"/>
  <c r="I15" i="6" a="1"/>
  <c r="C14" i="6" a="1"/>
  <c r="G15" i="6" a="1"/>
  <c r="L15" i="6" a="1"/>
  <c r="D15" i="6" l="1"/>
  <c r="Q15" i="6"/>
  <c r="J15" i="6"/>
  <c r="S15" i="6"/>
  <c r="W15" i="6"/>
  <c r="K15" i="6"/>
  <c r="T15" i="6"/>
  <c r="X15" i="6"/>
  <c r="V15" i="6"/>
  <c r="I15" i="6"/>
  <c r="G15" i="6"/>
  <c r="M15" i="6"/>
  <c r="N15" i="6"/>
  <c r="U15" i="6"/>
  <c r="E15" i="6"/>
  <c r="P15" i="6"/>
  <c r="C14" i="6"/>
  <c r="O15" i="6"/>
  <c r="H15" i="6"/>
  <c r="R15" i="6"/>
  <c r="F15" i="6"/>
  <c r="Z15" i="6"/>
  <c r="L15" i="6"/>
  <c r="Y15" i="6"/>
  <c r="W16" i="6" a="1"/>
  <c r="X16" i="6" a="1"/>
  <c r="R16" i="6" a="1"/>
  <c r="U16" i="6" a="1"/>
  <c r="G16" i="6" a="1"/>
  <c r="Y16" i="6" a="1"/>
  <c r="O16" i="6" a="1"/>
  <c r="S16" i="6" a="1"/>
  <c r="I16" i="6" a="1"/>
  <c r="V16" i="6" a="1"/>
  <c r="E16" i="6" a="1"/>
  <c r="L16" i="6" a="1"/>
  <c r="H16" i="6" a="1"/>
  <c r="M16" i="6" a="1"/>
  <c r="D16" i="6" a="1"/>
  <c r="Q16" i="6" a="1"/>
  <c r="K16" i="6" a="1"/>
  <c r="P16" i="6" a="1"/>
  <c r="T16" i="6" a="1"/>
  <c r="J16" i="6" a="1"/>
  <c r="F16" i="6" a="1"/>
  <c r="C15" i="6" a="1"/>
  <c r="Z16" i="6" a="1"/>
  <c r="N16" i="6" a="1"/>
  <c r="Y16" i="6" l="1"/>
  <c r="R16" i="6"/>
  <c r="P16" i="6"/>
  <c r="M16" i="6"/>
  <c r="X16" i="6"/>
  <c r="S16" i="6"/>
  <c r="L16" i="6"/>
  <c r="H16" i="6"/>
  <c r="G16" i="6"/>
  <c r="T16" i="6"/>
  <c r="J16" i="6"/>
  <c r="Z16" i="6"/>
  <c r="O16" i="6"/>
  <c r="U16" i="6"/>
  <c r="I16" i="6"/>
  <c r="K16" i="6"/>
  <c r="Q16" i="6"/>
  <c r="E16" i="6"/>
  <c r="F16" i="6"/>
  <c r="C15" i="6"/>
  <c r="N16" i="6"/>
  <c r="V16" i="6"/>
  <c r="W16" i="6"/>
  <c r="D16" i="6"/>
  <c r="Q17" i="6" a="1"/>
  <c r="K17" i="6" a="1"/>
  <c r="C16" i="6" a="1"/>
  <c r="J17" i="6" a="1"/>
  <c r="F17" i="6" a="1"/>
  <c r="D17" i="6" a="1"/>
  <c r="P17" i="6" a="1"/>
  <c r="M17" i="6" a="1"/>
  <c r="T17" i="6" a="1"/>
  <c r="W17" i="6" a="1"/>
  <c r="I17" i="6" a="1"/>
  <c r="U17" i="6" a="1"/>
  <c r="E17" i="6" a="1"/>
  <c r="Z17" i="6" a="1"/>
  <c r="O17" i="6" a="1"/>
  <c r="V17" i="6" a="1"/>
  <c r="H17" i="6" a="1"/>
  <c r="S17" i="6" a="1"/>
  <c r="Y17" i="6" a="1"/>
  <c r="G17" i="6" a="1"/>
  <c r="N17" i="6" a="1"/>
  <c r="R17" i="6" a="1"/>
  <c r="X17" i="6" a="1"/>
  <c r="L17" i="6" a="1"/>
  <c r="D17" i="6" l="1"/>
  <c r="C16" i="6"/>
  <c r="K17" i="6"/>
  <c r="Z17" i="6"/>
  <c r="H17" i="6"/>
  <c r="M17" i="6"/>
  <c r="W17" i="6"/>
  <c r="F17" i="6"/>
  <c r="I17" i="6"/>
  <c r="J17" i="6"/>
  <c r="L17" i="6"/>
  <c r="P17" i="6"/>
  <c r="V17" i="6"/>
  <c r="E17" i="6"/>
  <c r="U17" i="6"/>
  <c r="T17" i="6"/>
  <c r="S17" i="6"/>
  <c r="R17" i="6"/>
  <c r="N17" i="6"/>
  <c r="Q17" i="6"/>
  <c r="O17" i="6"/>
  <c r="G17" i="6"/>
  <c r="X17" i="6"/>
  <c r="Y17" i="6"/>
  <c r="U18" i="6" a="1"/>
  <c r="Q18" i="6" a="1"/>
  <c r="H18" i="6" a="1"/>
  <c r="X18" i="6" a="1"/>
  <c r="V18" i="6" a="1"/>
  <c r="L18" i="6" a="1"/>
  <c r="T18" i="6" a="1"/>
  <c r="D18" i="6" a="1"/>
  <c r="W18" i="6" a="1"/>
  <c r="J18" i="6" a="1"/>
  <c r="G18" i="6" a="1"/>
  <c r="S18" i="6" a="1"/>
  <c r="N18" i="6" a="1"/>
  <c r="M18" i="6" a="1"/>
  <c r="K18" i="6" a="1"/>
  <c r="R18" i="6" a="1"/>
  <c r="P18" i="6" a="1"/>
  <c r="F18" i="6" a="1"/>
  <c r="E18" i="6" a="1"/>
  <c r="O18" i="6" a="1"/>
  <c r="Y18" i="6" a="1"/>
  <c r="C17" i="6" a="1"/>
  <c r="I18" i="6" a="1"/>
  <c r="Z18" i="6" a="1"/>
  <c r="Y18" i="6" l="1"/>
  <c r="Q18" i="6"/>
  <c r="F18" i="6"/>
  <c r="Z18" i="6"/>
  <c r="X18" i="6"/>
  <c r="N18" i="6"/>
  <c r="U18" i="6"/>
  <c r="L18" i="6"/>
  <c r="W18" i="6"/>
  <c r="K18" i="6"/>
  <c r="P18" i="6"/>
  <c r="G18" i="6"/>
  <c r="R18" i="6"/>
  <c r="E18" i="6"/>
  <c r="J18" i="6"/>
  <c r="M18" i="6"/>
  <c r="C17" i="6"/>
  <c r="T18" i="6"/>
  <c r="O18" i="6"/>
  <c r="S18" i="6"/>
  <c r="V18" i="6"/>
  <c r="I18" i="6"/>
  <c r="H18" i="6"/>
  <c r="D18" i="6"/>
  <c r="P19" i="6" a="1"/>
  <c r="W19" i="6" a="1"/>
  <c r="G19" i="6" a="1"/>
  <c r="I19" i="6" a="1"/>
  <c r="T19" i="6" a="1"/>
  <c r="L19" i="6" a="1"/>
  <c r="N19" i="6" a="1"/>
  <c r="V19" i="6" a="1"/>
  <c r="J19" i="6" a="1"/>
  <c r="H19" i="6" a="1"/>
  <c r="K19" i="6" a="1"/>
  <c r="E19" i="6" a="1"/>
  <c r="Z19" i="6" a="1"/>
  <c r="M19" i="6" a="1"/>
  <c r="U19" i="6" a="1"/>
  <c r="S19" i="6" a="1"/>
  <c r="F19" i="6" a="1"/>
  <c r="Y19" i="6" a="1"/>
  <c r="O19" i="6" a="1"/>
  <c r="R19" i="6" a="1"/>
  <c r="X19" i="6" a="1"/>
  <c r="C18" i="6" a="1"/>
  <c r="Q19" i="6" a="1"/>
  <c r="D19" i="6" a="1"/>
  <c r="D19" i="6" l="1"/>
  <c r="S19" i="6"/>
  <c r="M19" i="6"/>
  <c r="G19" i="6"/>
  <c r="L19" i="6"/>
  <c r="Z19" i="6"/>
  <c r="H19" i="6"/>
  <c r="O19" i="6"/>
  <c r="J19" i="6"/>
  <c r="P19" i="6"/>
  <c r="U19" i="6"/>
  <c r="F19" i="6"/>
  <c r="I19" i="6"/>
  <c r="T19" i="6"/>
  <c r="E19" i="6"/>
  <c r="K19" i="6"/>
  <c r="N19" i="6"/>
  <c r="Q19" i="6"/>
  <c r="V19" i="6"/>
  <c r="C18" i="6"/>
  <c r="R19" i="6"/>
  <c r="W19" i="6"/>
  <c r="X19" i="6"/>
  <c r="Y19" i="6"/>
  <c r="H20" i="6" a="1"/>
  <c r="G20" i="6" a="1"/>
  <c r="E20" i="6" a="1"/>
  <c r="M20" i="6" a="1"/>
  <c r="X20" i="6" a="1"/>
  <c r="I20" i="6" a="1"/>
  <c r="J20" i="6" a="1"/>
  <c r="T20" i="6" a="1"/>
  <c r="W20" i="6" a="1"/>
  <c r="P20" i="6" a="1"/>
  <c r="N20" i="6" a="1"/>
  <c r="F20" i="6" a="1"/>
  <c r="L20" i="6" a="1"/>
  <c r="Z20" i="6" a="1"/>
  <c r="V20" i="6" a="1"/>
  <c r="O20" i="6" a="1"/>
  <c r="S20" i="6" a="1"/>
  <c r="Q20" i="6" a="1"/>
  <c r="U20" i="6" a="1"/>
  <c r="C19" i="6" a="1"/>
  <c r="R20" i="6" a="1"/>
  <c r="K20" i="6" a="1"/>
  <c r="D20" i="6" a="1"/>
  <c r="Y20" i="6" a="1"/>
  <c r="Y20" i="6" l="1"/>
  <c r="C19" i="6"/>
  <c r="K20" i="6"/>
  <c r="F20" i="6"/>
  <c r="O20" i="6"/>
  <c r="G20" i="6"/>
  <c r="X20" i="6"/>
  <c r="V20" i="6"/>
  <c r="E20" i="6"/>
  <c r="U20" i="6"/>
  <c r="H20" i="6"/>
  <c r="M20" i="6"/>
  <c r="W20" i="6"/>
  <c r="Q20" i="6"/>
  <c r="T20" i="6"/>
  <c r="P20" i="6"/>
  <c r="Z20" i="6"/>
  <c r="S20" i="6"/>
  <c r="R20" i="6"/>
  <c r="N20" i="6"/>
  <c r="I20" i="6"/>
  <c r="J20" i="6"/>
  <c r="L20" i="6"/>
  <c r="D20" i="6"/>
  <c r="E21" i="6" a="1"/>
  <c r="W21" i="6" a="1"/>
  <c r="G21" i="6" a="1"/>
  <c r="N21" i="6" a="1"/>
  <c r="H21" i="6" a="1"/>
  <c r="K21" i="6" a="1"/>
  <c r="I21" i="6" a="1"/>
  <c r="P21" i="6" a="1"/>
  <c r="Y21" i="6" a="1"/>
  <c r="Z21" i="6" a="1"/>
  <c r="O21" i="6" a="1"/>
  <c r="T21" i="6" a="1"/>
  <c r="L21" i="6" a="1"/>
  <c r="X21" i="6" a="1"/>
  <c r="V21" i="6" a="1"/>
  <c r="C20" i="6" a="1"/>
  <c r="R21" i="6" a="1"/>
  <c r="D21" i="6" a="1"/>
  <c r="Q21" i="6" a="1"/>
  <c r="S21" i="6" a="1"/>
  <c r="F21" i="6" a="1"/>
  <c r="U21" i="6" a="1"/>
  <c r="J21" i="6" a="1"/>
  <c r="M21" i="6" a="1"/>
  <c r="D21" i="6" l="1"/>
  <c r="N21" i="6"/>
  <c r="P21" i="6"/>
  <c r="M21" i="6"/>
  <c r="V21" i="6"/>
  <c r="F21" i="6"/>
  <c r="L21" i="6"/>
  <c r="R21" i="6"/>
  <c r="T21" i="6"/>
  <c r="H21" i="6"/>
  <c r="X21" i="6"/>
  <c r="K21" i="6"/>
  <c r="J21" i="6"/>
  <c r="S21" i="6"/>
  <c r="Q21" i="6"/>
  <c r="U21" i="6"/>
  <c r="G21" i="6"/>
  <c r="C20" i="6"/>
  <c r="I21" i="6"/>
  <c r="Z21" i="6"/>
  <c r="W21" i="6"/>
  <c r="E21" i="6"/>
  <c r="O21" i="6"/>
  <c r="Y21" i="6"/>
  <c r="F22" i="6" a="1"/>
  <c r="N22" i="6" a="1"/>
  <c r="V22" i="6" a="1"/>
  <c r="Y22" i="6" a="1"/>
  <c r="P22" i="6" a="1"/>
  <c r="I22" i="6" a="1"/>
  <c r="W22" i="6" a="1"/>
  <c r="Q22" i="6" a="1"/>
  <c r="M22" i="6" a="1"/>
  <c r="R22" i="6" a="1"/>
  <c r="O22" i="6" a="1"/>
  <c r="S22" i="6" a="1"/>
  <c r="H22" i="6" a="1"/>
  <c r="J22" i="6" a="1"/>
  <c r="X22" i="6" a="1"/>
  <c r="C21" i="6" a="1"/>
  <c r="D22" i="6" a="1"/>
  <c r="L22" i="6" a="1"/>
  <c r="Z22" i="6" a="1"/>
  <c r="U22" i="6" a="1"/>
  <c r="T22" i="6" a="1"/>
  <c r="E22" i="6" a="1"/>
  <c r="K22" i="6" a="1"/>
  <c r="G22" i="6" a="1"/>
  <c r="Y22" i="6" l="1"/>
  <c r="Z22" i="6"/>
  <c r="U22" i="6"/>
  <c r="K22" i="6"/>
  <c r="R22" i="6"/>
  <c r="M22" i="6"/>
  <c r="O22" i="6"/>
  <c r="I22" i="6"/>
  <c r="Q22" i="6"/>
  <c r="X22" i="6"/>
  <c r="L22" i="6"/>
  <c r="P22" i="6"/>
  <c r="E22" i="6"/>
  <c r="C21" i="6"/>
  <c r="S22" i="6"/>
  <c r="H22" i="6"/>
  <c r="F22" i="6"/>
  <c r="N22" i="6"/>
  <c r="W22" i="6"/>
  <c r="G22" i="6"/>
  <c r="J22" i="6"/>
  <c r="T22" i="6"/>
  <c r="V22" i="6"/>
  <c r="D22" i="6"/>
  <c r="K23" i="6" a="1"/>
  <c r="M23" i="6" a="1"/>
  <c r="X23" i="6" a="1"/>
  <c r="N23" i="6" a="1"/>
  <c r="C22" i="6" a="1"/>
  <c r="G23" i="6" a="1"/>
  <c r="D23" i="6" a="1"/>
  <c r="L23" i="6" a="1"/>
  <c r="W23" i="6" a="1"/>
  <c r="F23" i="6" a="1"/>
  <c r="E23" i="6" a="1"/>
  <c r="H23" i="6" a="1"/>
  <c r="S23" i="6" a="1"/>
  <c r="Q23" i="6" a="1"/>
  <c r="P23" i="6" a="1"/>
  <c r="U23" i="6" a="1"/>
  <c r="O23" i="6" a="1"/>
  <c r="Y23" i="6" a="1"/>
  <c r="I23" i="6" a="1"/>
  <c r="Z23" i="6" a="1"/>
  <c r="J23" i="6" a="1"/>
  <c r="T23" i="6" a="1"/>
  <c r="V23" i="6" a="1"/>
  <c r="R23" i="6" a="1"/>
  <c r="D23" i="6" l="1"/>
  <c r="G23" i="6"/>
  <c r="H23" i="6"/>
  <c r="P23" i="6"/>
  <c r="I23" i="6"/>
  <c r="K23" i="6"/>
  <c r="V23" i="6"/>
  <c r="W23" i="6"/>
  <c r="S23" i="6"/>
  <c r="L23" i="6"/>
  <c r="O23" i="6"/>
  <c r="U23" i="6"/>
  <c r="T23" i="6"/>
  <c r="N23" i="6"/>
  <c r="C22" i="6"/>
  <c r="X23" i="6"/>
  <c r="M23" i="6"/>
  <c r="Z23" i="6"/>
  <c r="J23" i="6"/>
  <c r="F23" i="6"/>
  <c r="E23" i="6"/>
  <c r="Q23" i="6"/>
  <c r="R23" i="6"/>
  <c r="Y23" i="6"/>
  <c r="R24" i="6" a="1"/>
  <c r="G24" i="6" a="1"/>
  <c r="W24" i="6" a="1"/>
  <c r="I24" i="6" a="1"/>
  <c r="Q24" i="6" a="1"/>
  <c r="Z24" i="6" a="1"/>
  <c r="T24" i="6" a="1"/>
  <c r="V24" i="6" a="1"/>
  <c r="H24" i="6" a="1"/>
  <c r="M24" i="6" a="1"/>
  <c r="O24" i="6" a="1"/>
  <c r="J24" i="6" a="1"/>
  <c r="E24" i="6" a="1"/>
  <c r="U24" i="6" a="1"/>
  <c r="S24" i="6" a="1"/>
  <c r="P24" i="6" a="1"/>
  <c r="X24" i="6" a="1"/>
  <c r="D24" i="6" a="1"/>
  <c r="K24" i="6" a="1"/>
  <c r="Y24" i="6" a="1"/>
  <c r="F24" i="6" a="1"/>
  <c r="L24" i="6" a="1"/>
  <c r="N24" i="6" a="1"/>
  <c r="C23" i="6" a="1"/>
  <c r="Y24" i="6" l="1"/>
  <c r="F24" i="6"/>
  <c r="X24" i="6"/>
  <c r="U24" i="6"/>
  <c r="W24" i="6"/>
  <c r="P24" i="6"/>
  <c r="R24" i="6"/>
  <c r="J24" i="6"/>
  <c r="C23" i="6"/>
  <c r="O24" i="6"/>
  <c r="V24" i="6"/>
  <c r="H24" i="6"/>
  <c r="Q24" i="6"/>
  <c r="Z24" i="6"/>
  <c r="N24" i="6"/>
  <c r="L24" i="6"/>
  <c r="K24" i="6"/>
  <c r="G24" i="6"/>
  <c r="E24" i="6"/>
  <c r="M24" i="6"/>
  <c r="T24" i="6"/>
  <c r="S24" i="6"/>
  <c r="I24" i="6"/>
  <c r="D24" i="6"/>
  <c r="T25" i="6" a="1"/>
  <c r="X25" i="6" a="1"/>
  <c r="Y25" i="6" a="1"/>
  <c r="J25" i="6" a="1"/>
  <c r="K25" i="6" a="1"/>
  <c r="L25" i="6" a="1"/>
  <c r="D25" i="6" a="1"/>
  <c r="O25" i="6" a="1"/>
  <c r="R25" i="6" a="1"/>
  <c r="V25" i="6" a="1"/>
  <c r="H25" i="6" a="1"/>
  <c r="I25" i="6" a="1"/>
  <c r="P25" i="6" a="1"/>
  <c r="S25" i="6" a="1"/>
  <c r="G25" i="6" a="1"/>
  <c r="C24" i="6" a="1"/>
  <c r="W25" i="6" a="1"/>
  <c r="U25" i="6" a="1"/>
  <c r="Q25" i="6" a="1"/>
  <c r="M25" i="6" a="1"/>
  <c r="F25" i="6" a="1"/>
  <c r="Z25" i="6" a="1"/>
  <c r="E25" i="6" a="1"/>
  <c r="N25" i="6" a="1"/>
  <c r="M25" i="6" l="1"/>
  <c r="D25" i="6"/>
  <c r="L25" i="6"/>
  <c r="H25" i="6"/>
  <c r="J25" i="6"/>
  <c r="U25" i="6"/>
  <c r="I25" i="6"/>
  <c r="E25" i="6"/>
  <c r="N25" i="6"/>
  <c r="V25" i="6"/>
  <c r="R25" i="6"/>
  <c r="X25" i="6"/>
  <c r="S25" i="6"/>
  <c r="G25" i="6"/>
  <c r="Z25" i="6"/>
  <c r="O25" i="6"/>
  <c r="P25" i="6"/>
  <c r="F25" i="6"/>
  <c r="T25" i="6"/>
  <c r="K25" i="6"/>
  <c r="Q25" i="6"/>
  <c r="C24" i="6"/>
  <c r="W25" i="6"/>
  <c r="Y25" i="6"/>
  <c r="C25" i="6" a="1"/>
  <c r="C25" i="6" l="1"/>
  <c r="D39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<sst xmlns="http://schemas.openxmlformats.org/spreadsheetml/2006/main" count="376" uniqueCount="121">
  <si>
    <t>SOMMAIRE</t>
  </si>
  <si>
    <t>Prévision</t>
  </si>
  <si>
    <t>Réel</t>
  </si>
  <si>
    <t>Taux d'usage</t>
  </si>
  <si>
    <t>Total des produits</t>
  </si>
  <si>
    <t>Total des charges</t>
  </si>
  <si>
    <t xml:space="preserve">     EXCÉDENT DES PRODUITS</t>
  </si>
  <si>
    <t xml:space="preserve">     SUR LES CHARGES</t>
  </si>
  <si>
    <t>À ce jour</t>
  </si>
  <si>
    <t>Début de l'exercice</t>
  </si>
  <si>
    <t>Croissance</t>
  </si>
  <si>
    <t>Total des actifs</t>
  </si>
  <si>
    <t>Total des passifs</t>
  </si>
  <si>
    <t xml:space="preserve">      AVOIR NET</t>
  </si>
  <si>
    <t>JOURNAL GÉNÉRAL</t>
  </si>
  <si>
    <t>Date</t>
  </si>
  <si>
    <r>
      <t>Facture n</t>
    </r>
    <r>
      <rPr>
        <b/>
        <sz val="11"/>
        <color theme="1"/>
        <rFont val="Calibri"/>
        <family val="2"/>
      </rPr>
      <t>°</t>
    </r>
  </si>
  <si>
    <t>Objet</t>
  </si>
  <si>
    <t>Débit</t>
  </si>
  <si>
    <t>Crédit</t>
  </si>
  <si>
    <t>Catégorie</t>
  </si>
  <si>
    <t>Sous-catégorie</t>
  </si>
  <si>
    <t>Compte</t>
  </si>
  <si>
    <t>Coffre</t>
  </si>
  <si>
    <t>Compte GÉGI</t>
  </si>
  <si>
    <t>Compte IEEE</t>
  </si>
  <si>
    <t>Fonds de sécurité</t>
  </si>
  <si>
    <t>Produits d'intérêts</t>
  </si>
  <si>
    <t>Ristourne</t>
  </si>
  <si>
    <t>Comité exécutif</t>
  </si>
  <si>
    <t>Vêtements</t>
  </si>
  <si>
    <t>VP Commandites</t>
  </si>
  <si>
    <t>Ventes diverses</t>
  </si>
  <si>
    <t>Présidence</t>
  </si>
  <si>
    <t>Vice-Présidence</t>
  </si>
  <si>
    <t>VP Trésorerie</t>
  </si>
  <si>
    <t>VP Secrétariat</t>
  </si>
  <si>
    <t>VP Centre McNaughton</t>
  </si>
  <si>
    <t>VP Communications</t>
  </si>
  <si>
    <t>VP Activités socioculturelles</t>
  </si>
  <si>
    <t>Abonnements IEEE</t>
  </si>
  <si>
    <t>Frais bancaires</t>
  </si>
  <si>
    <t>Frais fixes</t>
  </si>
  <si>
    <t>Intérêt sur ET</t>
  </si>
  <si>
    <t>Patch</t>
  </si>
  <si>
    <t>Local McNaughton</t>
  </si>
  <si>
    <t>Articles de bureau</t>
  </si>
  <si>
    <t>Club Café</t>
  </si>
  <si>
    <t>Café</t>
  </si>
  <si>
    <t>Collations</t>
  </si>
  <si>
    <t>Verres</t>
  </si>
  <si>
    <t>Produits d'événements</t>
  </si>
  <si>
    <t>Autre</t>
  </si>
  <si>
    <t>Charges d'événements</t>
  </si>
  <si>
    <t>Mécabuck</t>
  </si>
  <si>
    <t>Entretien</t>
  </si>
  <si>
    <t>Créances Mécabuck</t>
  </si>
  <si>
    <t>Décorations</t>
  </si>
  <si>
    <t>Billets</t>
  </si>
  <si>
    <t>Activités</t>
  </si>
  <si>
    <t>Publicité et impression</t>
  </si>
  <si>
    <t>IEEE Xtreme</t>
  </si>
  <si>
    <t>Nourriture et boissons</t>
  </si>
  <si>
    <t>GégiSport</t>
  </si>
  <si>
    <t>Location</t>
  </si>
  <si>
    <t>Factures non payées</t>
  </si>
  <si>
    <t>Financement</t>
  </si>
  <si>
    <t>IEEE</t>
  </si>
  <si>
    <t>Créances IEEE</t>
  </si>
  <si>
    <t>Cotisations</t>
  </si>
  <si>
    <t>Assemblée générale</t>
  </si>
  <si>
    <t>CS Games</t>
  </si>
  <si>
    <t>Inscriptions</t>
  </si>
  <si>
    <t>Mobilier</t>
  </si>
  <si>
    <t>ITR</t>
  </si>
  <si>
    <t>Créances ITR</t>
  </si>
  <si>
    <t>Transport</t>
  </si>
  <si>
    <t>Randolph</t>
  </si>
  <si>
    <t>BILAN DES COMPTES</t>
  </si>
  <si>
    <t xml:space="preserve">     ACTIFS</t>
  </si>
  <si>
    <t>Encaisse</t>
  </si>
  <si>
    <t>Créances</t>
  </si>
  <si>
    <t xml:space="preserve">     TOTAL DES ACTIFS</t>
  </si>
  <si>
    <t xml:space="preserve">      PASSIFS</t>
  </si>
  <si>
    <t>Redevances</t>
  </si>
  <si>
    <t>Membres du comité exécutif</t>
  </si>
  <si>
    <t xml:space="preserve">     TOTAL DES PASSIFS</t>
  </si>
  <si>
    <t xml:space="preserve">      RÉCAPITULATIF</t>
  </si>
  <si>
    <t>Avoir net</t>
  </si>
  <si>
    <t>SUIVI BUDGÉTAIRE</t>
  </si>
  <si>
    <t>Total prévu</t>
  </si>
  <si>
    <t xml:space="preserve">     PRODUITS</t>
  </si>
  <si>
    <t>Partenaires</t>
  </si>
  <si>
    <t>Articles promotionnels</t>
  </si>
  <si>
    <t>Intérêt sur EOP</t>
  </si>
  <si>
    <t xml:space="preserve">     TOTAL DES PRODUITS</t>
  </si>
  <si>
    <t xml:space="preserve">      CHARGES</t>
  </si>
  <si>
    <t>Visites industrielles</t>
  </si>
  <si>
    <t>Concours</t>
  </si>
  <si>
    <t>Récompense</t>
  </si>
  <si>
    <t>Fabrication</t>
  </si>
  <si>
    <t>Livraison</t>
  </si>
  <si>
    <t>Matériel et équipement</t>
  </si>
  <si>
    <t>Logement</t>
  </si>
  <si>
    <t>Ajustement</t>
  </si>
  <si>
    <t>Frais d'intérêts</t>
  </si>
  <si>
    <t xml:space="preserve">     TOTAL DES CHARGES</t>
  </si>
  <si>
    <t>PRÉVISION BUDGÉTAIRE</t>
  </si>
  <si>
    <t>GÉGI</t>
  </si>
  <si>
    <t>Exercice précédent</t>
  </si>
  <si>
    <t>PRÉVISION BUDGÉTAIRE PRÉLIMINAIRE</t>
  </si>
  <si>
    <t>ÉTATS FINANCIERS</t>
  </si>
  <si>
    <t>2023-2024</t>
  </si>
  <si>
    <t>Commanditaires</t>
  </si>
  <si>
    <t>Catégories</t>
  </si>
  <si>
    <t>Comptes</t>
  </si>
  <si>
    <t>Date d'aujourd'hui :</t>
  </si>
  <si>
    <t>pour l'exercice débutant le 1er mai 1900</t>
  </si>
  <si>
    <t>pour l'exercice se terminant le 30 avril 1900</t>
  </si>
  <si>
    <t>en date du 31 décembre 1899</t>
  </si>
  <si>
    <t>En date du 31 décembre 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</si>
</sst>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$&quot;_);[Red]\(#,##0.00\ &quot;$&quot;\)"/>
    <numFmt numFmtId="44" formatCode="_ * #,##0.00_)\ &quot;$&quot;_ ;_ * \(#,##0.00\)\ &quot;$&quot;_ ;_ * &quot;-&quot;??_)\ &quot;$&quot;_ ;_ @_ "/>
    <numFmt numFmtId="164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theme="6"/>
      </top>
      <bottom/>
      <diagonal/>
    </border>
    <border>
      <left style="slantDashDot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left"/>
    </xf>
    <xf numFmtId="44" fontId="3" fillId="0" borderId="0" xfId="1" applyFont="1"/>
    <xf numFmtId="44" fontId="3" fillId="0" borderId="2" xfId="1" applyFont="1" applyBorder="1"/>
    <xf numFmtId="44" fontId="3" fillId="0" borderId="3" xfId="1" applyFont="1" applyBorder="1"/>
    <xf numFmtId="44" fontId="3" fillId="0" borderId="0" xfId="1" applyFont="1" applyBorder="1"/>
    <xf numFmtId="0" fontId="5" fillId="2" borderId="6" xfId="0" applyFont="1" applyFill="1" applyBorder="1"/>
    <xf numFmtId="0" fontId="3" fillId="2" borderId="7" xfId="0" applyFont="1" applyFill="1" applyBorder="1"/>
    <xf numFmtId="44" fontId="5" fillId="2" borderId="8" xfId="1" applyFont="1" applyFill="1" applyBorder="1"/>
    <xf numFmtId="0" fontId="5" fillId="2" borderId="7" xfId="0" applyFont="1" applyFill="1" applyBorder="1"/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44" fontId="5" fillId="0" borderId="5" xfId="1" applyFont="1" applyBorder="1" applyAlignment="1">
      <alignment vertical="center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2" fillId="3" borderId="9" xfId="0" applyFont="1" applyFill="1" applyBorder="1"/>
    <xf numFmtId="14" fontId="3" fillId="0" borderId="0" xfId="0" applyNumberFormat="1" applyFont="1" applyAlignment="1">
      <alignment vertical="center"/>
    </xf>
    <xf numFmtId="44" fontId="3" fillId="0" borderId="0" xfId="1" applyFont="1" applyAlignment="1">
      <alignment vertical="center"/>
    </xf>
    <xf numFmtId="0" fontId="4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14" fontId="4" fillId="0" borderId="0" xfId="0" applyNumberFormat="1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44" fontId="3" fillId="0" borderId="0" xfId="1" applyFont="1" applyAlignment="1">
      <alignment horizontal="centerContinuous" vertical="center"/>
    </xf>
    <xf numFmtId="44" fontId="3" fillId="0" borderId="10" xfId="1" applyFont="1" applyBorder="1"/>
    <xf numFmtId="44" fontId="3" fillId="0" borderId="11" xfId="1" applyFont="1" applyBorder="1"/>
    <xf numFmtId="44" fontId="5" fillId="2" borderId="12" xfId="1" applyFont="1" applyFill="1" applyBorder="1"/>
    <xf numFmtId="44" fontId="5" fillId="0" borderId="13" xfId="1" applyFont="1" applyBorder="1" applyAlignment="1">
      <alignment vertical="center"/>
    </xf>
    <xf numFmtId="44" fontId="3" fillId="0" borderId="14" xfId="1" applyFont="1" applyBorder="1"/>
    <xf numFmtId="0" fontId="0" fillId="0" borderId="16" xfId="0" applyBorder="1"/>
    <xf numFmtId="0" fontId="2" fillId="3" borderId="0" xfId="0" applyFont="1" applyFill="1"/>
    <xf numFmtId="44" fontId="3" fillId="0" borderId="17" xfId="1" applyFont="1" applyBorder="1"/>
    <xf numFmtId="0" fontId="5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14" fontId="5" fillId="0" borderId="0" xfId="0" applyNumberFormat="1" applyFont="1" applyAlignment="1">
      <alignment horizontal="centerContinuous" vertical="center"/>
    </xf>
    <xf numFmtId="44" fontId="3" fillId="4" borderId="3" xfId="1" applyFont="1" applyFill="1" applyBorder="1"/>
    <xf numFmtId="44" fontId="3" fillId="4" borderId="18" xfId="1" applyFont="1" applyFill="1" applyBorder="1"/>
    <xf numFmtId="44" fontId="3" fillId="5" borderId="3" xfId="1" applyFont="1" applyFill="1" applyBorder="1"/>
    <xf numFmtId="44" fontId="5" fillId="0" borderId="3" xfId="1" applyFont="1" applyBorder="1" applyAlignment="1">
      <alignment horizontal="center" vertical="center"/>
    </xf>
    <xf numFmtId="44" fontId="5" fillId="0" borderId="3" xfId="1" applyFont="1" applyBorder="1" applyAlignment="1">
      <alignment horizontal="center" vertical="center" wrapText="1"/>
    </xf>
    <xf numFmtId="0" fontId="9" fillId="0" borderId="0" xfId="0" applyFont="1"/>
    <xf numFmtId="8" fontId="5" fillId="0" borderId="0" xfId="1" applyNumberFormat="1" applyFont="1" applyBorder="1" applyAlignment="1">
      <alignment horizontal="center" vertical="center"/>
    </xf>
    <xf numFmtId="8" fontId="5" fillId="0" borderId="5" xfId="1" applyNumberFormat="1" applyFont="1" applyBorder="1" applyAlignment="1">
      <alignment horizontal="right" vertical="center"/>
    </xf>
    <xf numFmtId="164" fontId="3" fillId="0" borderId="3" xfId="2" applyNumberFormat="1" applyFont="1" applyBorder="1" applyAlignment="1">
      <alignment horizontal="center"/>
    </xf>
    <xf numFmtId="10" fontId="3" fillId="0" borderId="3" xfId="2" applyNumberFormat="1" applyFont="1" applyBorder="1" applyAlignment="1">
      <alignment horizontal="center"/>
    </xf>
    <xf numFmtId="10" fontId="5" fillId="0" borderId="5" xfId="2" applyNumberFormat="1" applyFont="1" applyBorder="1" applyAlignment="1">
      <alignment horizontal="center" vertical="center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0" fillId="0" borderId="0" xfId="0" applyProtection="1">
      <protection locked="0"/>
    </xf>
    <xf numFmtId="0" fontId="5" fillId="2" borderId="6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5" fillId="2" borderId="7" xfId="0" applyFont="1" applyFill="1" applyBorder="1" applyProtection="1">
      <protection locked="0"/>
    </xf>
    <xf numFmtId="14" fontId="5" fillId="0" borderId="0" xfId="0" applyNumberFormat="1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44" fontId="5" fillId="0" borderId="0" xfId="1" applyFont="1" applyAlignment="1" applyProtection="1">
      <alignment horizontal="left" vertical="center"/>
      <protection locked="0"/>
    </xf>
    <xf numFmtId="14" fontId="7" fillId="0" borderId="0" xfId="0" applyNumberFormat="1" applyFont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44" fontId="7" fillId="0" borderId="0" xfId="1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Continuous"/>
      <protection locked="0"/>
    </xf>
    <xf numFmtId="44" fontId="3" fillId="0" borderId="0" xfId="1" applyFont="1" applyProtection="1">
      <protection locked="0"/>
    </xf>
    <xf numFmtId="44" fontId="3" fillId="0" borderId="2" xfId="1" applyFont="1" applyBorder="1" applyProtection="1">
      <protection locked="0"/>
    </xf>
    <xf numFmtId="44" fontId="3" fillId="0" borderId="3" xfId="1" applyFont="1" applyBorder="1" applyProtection="1">
      <protection locked="0"/>
    </xf>
    <xf numFmtId="44" fontId="5" fillId="2" borderId="8" xfId="1" applyFont="1" applyFill="1" applyBorder="1" applyProtection="1">
      <protection locked="0"/>
    </xf>
    <xf numFmtId="44" fontId="3" fillId="0" borderId="3" xfId="1" applyFont="1" applyFill="1" applyBorder="1" applyProtection="1">
      <protection locked="0"/>
    </xf>
    <xf numFmtId="44" fontId="3" fillId="0" borderId="3" xfId="1" applyFont="1" applyBorder="1" applyAlignment="1" applyProtection="1">
      <alignment horizontal="center" vertical="center"/>
      <protection locked="0"/>
    </xf>
    <xf numFmtId="44" fontId="5" fillId="0" borderId="13" xfId="1" applyFont="1" applyBorder="1" applyAlignment="1" applyProtection="1">
      <alignment vertical="center"/>
      <protection locked="0"/>
    </xf>
    <xf numFmtId="44" fontId="5" fillId="0" borderId="5" xfId="1" applyFont="1" applyBorder="1" applyAlignment="1" applyProtection="1">
      <alignment vertical="center"/>
      <protection locked="0"/>
    </xf>
    <xf numFmtId="44" fontId="3" fillId="0" borderId="0" xfId="1" applyFont="1" applyBorder="1" applyProtection="1">
      <protection locked="0"/>
    </xf>
    <xf numFmtId="44" fontId="3" fillId="0" borderId="18" xfId="1" applyFont="1" applyFill="1" applyBorder="1" applyProtection="1">
      <protection locked="0"/>
    </xf>
    <xf numFmtId="44" fontId="3" fillId="0" borderId="2" xfId="1" applyFont="1" applyFill="1" applyBorder="1" applyProtection="1">
      <protection locked="0"/>
    </xf>
    <xf numFmtId="44" fontId="5" fillId="0" borderId="8" xfId="1" applyFont="1" applyFill="1" applyBorder="1" applyProtection="1">
      <protection locked="0"/>
    </xf>
    <xf numFmtId="44" fontId="5" fillId="0" borderId="13" xfId="1" applyFont="1" applyFill="1" applyBorder="1" applyAlignment="1" applyProtection="1">
      <alignment vertical="center"/>
      <protection locked="0"/>
    </xf>
    <xf numFmtId="44" fontId="5" fillId="0" borderId="5" xfId="1" applyFont="1" applyFill="1" applyBorder="1" applyAlignment="1" applyProtection="1">
      <alignment vertical="center"/>
      <protection locked="0"/>
    </xf>
    <xf numFmtId="44" fontId="3" fillId="0" borderId="0" xfId="1" applyFont="1" applyFill="1" applyBorder="1" applyProtection="1">
      <protection locked="0"/>
    </xf>
    <xf numFmtId="44" fontId="3" fillId="0" borderId="0" xfId="1" applyFont="1" applyFill="1" applyProtection="1">
      <protection locked="0"/>
    </xf>
    <xf numFmtId="14" fontId="4" fillId="0" borderId="0" xfId="0" applyNumberFormat="1" applyFont="1" applyAlignment="1" applyProtection="1">
      <alignment horizontal="centerContinuous"/>
      <protection locked="0"/>
    </xf>
    <xf numFmtId="0" fontId="11" fillId="0" borderId="19" xfId="0" applyFont="1" applyBorder="1" applyAlignment="1">
      <alignment horizontal="right"/>
    </xf>
    <xf numFmtId="14" fontId="11" fillId="0" borderId="21" xfId="0" applyNumberFormat="1" applyFont="1" applyBorder="1" applyAlignment="1">
      <alignment horizontal="left"/>
    </xf>
    <xf numFmtId="164" fontId="3" fillId="0" borderId="3" xfId="1" applyNumberFormat="1" applyFont="1" applyBorder="1"/>
    <xf numFmtId="0" fontId="5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5" fillId="0" borderId="0" xfId="0" applyFont="1" applyFill="1"/>
    <xf numFmtId="0" fontId="3" fillId="0" borderId="0" xfId="0" applyFont="1" applyFill="1"/>
    <xf numFmtId="0" fontId="4" fillId="0" borderId="0" xfId="0" applyFont="1" applyFill="1" applyAlignment="1">
      <alignment horizontal="left"/>
    </xf>
    <xf numFmtId="0" fontId="5" fillId="0" borderId="6" xfId="0" applyFont="1" applyFill="1" applyBorder="1"/>
    <xf numFmtId="0" fontId="5" fillId="0" borderId="7" xfId="0" applyFont="1" applyFill="1" applyBorder="1"/>
    <xf numFmtId="0" fontId="3" fillId="0" borderId="7" xfId="0" applyFont="1" applyFill="1" applyBorder="1"/>
    <xf numFmtId="0" fontId="5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4" fontId="5" fillId="0" borderId="2" xfId="1" applyFont="1" applyBorder="1" applyAlignment="1">
      <alignment horizontal="center" vertical="center"/>
    </xf>
    <xf numFmtId="44" fontId="5" fillId="0" borderId="4" xfId="1" applyFont="1" applyBorder="1" applyAlignment="1">
      <alignment horizontal="center" vertical="center"/>
    </xf>
    <xf numFmtId="44" fontId="5" fillId="0" borderId="2" xfId="1" applyFont="1" applyBorder="1" applyAlignment="1">
      <alignment horizontal="center" vertical="center" wrapText="1"/>
    </xf>
    <xf numFmtId="44" fontId="5" fillId="0" borderId="4" xfId="1" applyFont="1" applyBorder="1" applyAlignment="1">
      <alignment horizontal="center" vertical="center" wrapText="1"/>
    </xf>
    <xf numFmtId="44" fontId="5" fillId="0" borderId="20" xfId="1" applyFont="1" applyBorder="1" applyAlignment="1">
      <alignment horizontal="right" vertical="center"/>
    </xf>
    <xf numFmtId="44" fontId="5" fillId="0" borderId="4" xfId="1" applyFont="1" applyBorder="1" applyAlignment="1">
      <alignment horizontal="right" vertical="center"/>
    </xf>
    <xf numFmtId="164" fontId="5" fillId="0" borderId="20" xfId="2" applyNumberFormat="1" applyFont="1" applyBorder="1" applyAlignment="1">
      <alignment horizontal="center" vertical="center"/>
    </xf>
    <xf numFmtId="164" fontId="5" fillId="0" borderId="4" xfId="2" applyNumberFormat="1" applyFont="1" applyBorder="1" applyAlignment="1">
      <alignment horizontal="center" vertical="center"/>
    </xf>
    <xf numFmtId="44" fontId="5" fillId="0" borderId="10" xfId="1" applyFont="1" applyBorder="1" applyAlignment="1">
      <alignment horizontal="center" vertical="center"/>
    </xf>
    <xf numFmtId="44" fontId="5" fillId="0" borderId="15" xfId="1" applyFont="1" applyBorder="1" applyAlignment="1">
      <alignment horizontal="center" vertical="center"/>
    </xf>
    <xf numFmtId="44" fontId="5" fillId="0" borderId="1" xfId="1" applyFont="1" applyBorder="1" applyAlignment="1">
      <alignment horizontal="center" vertical="center"/>
    </xf>
    <xf numFmtId="44" fontId="5" fillId="0" borderId="19" xfId="1" applyFont="1" applyBorder="1" applyAlignment="1">
      <alignment horizontal="center" vertical="center"/>
    </xf>
    <xf numFmtId="8" fontId="5" fillId="0" borderId="2" xfId="1" applyNumberFormat="1" applyFont="1" applyBorder="1" applyAlignment="1" applyProtection="1">
      <alignment horizontal="center" vertical="center"/>
      <protection locked="0"/>
    </xf>
    <xf numFmtId="8" fontId="5" fillId="0" borderId="4" xfId="1" applyNumberFormat="1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 vertical="center"/>
      <protection locked="0"/>
    </xf>
    <xf numFmtId="44" fontId="5" fillId="0" borderId="4" xfId="1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 vertical="center" wrapText="1"/>
      <protection locked="0"/>
    </xf>
    <xf numFmtId="44" fontId="5" fillId="0" borderId="4" xfId="1" applyFont="1" applyBorder="1" applyAlignment="1" applyProtection="1">
      <alignment horizontal="center" vertical="center" wrapText="1"/>
      <protection locked="0"/>
    </xf>
    <xf numFmtId="8" fontId="5" fillId="0" borderId="2" xfId="1" applyNumberFormat="1" applyFont="1" applyFill="1" applyBorder="1" applyAlignment="1" applyProtection="1">
      <alignment horizontal="center" vertical="center"/>
      <protection locked="0"/>
    </xf>
    <xf numFmtId="8" fontId="5" fillId="0" borderId="4" xfId="1" applyNumberFormat="1" applyFont="1" applyFill="1" applyBorder="1" applyAlignment="1" applyProtection="1">
      <alignment horizontal="center" vertical="center"/>
      <protection locked="0"/>
    </xf>
    <xf numFmtId="44" fontId="5" fillId="0" borderId="2" xfId="1" applyFont="1" applyFill="1" applyBorder="1" applyAlignment="1" applyProtection="1">
      <alignment horizontal="center" vertical="center"/>
      <protection locked="0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10" fillId="0" borderId="2" xfId="1" applyFont="1" applyFill="1" applyBorder="1" applyAlignment="1" applyProtection="1">
      <alignment horizontal="center" vertical="center" wrapText="1"/>
      <protection locked="0"/>
    </xf>
    <xf numFmtId="44" fontId="5" fillId="0" borderId="4" xfId="1" applyFont="1" applyFill="1" applyBorder="1" applyAlignment="1" applyProtection="1">
      <alignment horizontal="center" vertical="center" wrapText="1"/>
      <protection locked="0"/>
    </xf>
    <xf numFmtId="8" fontId="5" fillId="0" borderId="2" xfId="1" applyNumberFormat="1" applyFont="1" applyBorder="1" applyAlignment="1">
      <alignment horizontal="center" vertical="center"/>
    </xf>
    <xf numFmtId="8" fontId="5" fillId="0" borderId="4" xfId="1" applyNumberFormat="1" applyFont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yyyy/mm/dd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44336"/>
      <color rgb="FF4CAF50"/>
      <color rgb="FF2196F3"/>
      <color rgb="FF70F9FC"/>
      <color rgb="FFFA2F06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Sommaire!$C$7</c:f>
              <c:strCache>
                <c:ptCount val="1"/>
                <c:pt idx="0">
                  <c:v>Total des produits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Sommaire!$D$4:$E$6</c:f>
              <c:strCache>
                <c:ptCount val="2"/>
                <c:pt idx="0">
                  <c:v> Prévision </c:v>
                </c:pt>
                <c:pt idx="1">
                  <c:v> Réel </c:v>
                </c:pt>
              </c:strCache>
            </c:strRef>
          </c:cat>
          <c:val>
            <c:numRef>
              <c:f>Sommaire!$D$7:$E$7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19-4491-9E33-A8FBB19D1758}"/>
            </c:ext>
          </c:extLst>
        </c:ser>
        <c:ser>
          <c:idx val="1"/>
          <c:order val="1"/>
          <c:tx>
            <c:strRef>
              <c:f>Sommaire!$C$8</c:f>
              <c:strCache>
                <c:ptCount val="1"/>
                <c:pt idx="0">
                  <c:v>Total des charges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Sommaire!$D$4:$E$6</c:f>
              <c:strCache>
                <c:ptCount val="2"/>
                <c:pt idx="0">
                  <c:v> Prévision </c:v>
                </c:pt>
                <c:pt idx="1">
                  <c:v> Réel </c:v>
                </c:pt>
              </c:strCache>
            </c:strRef>
          </c:cat>
          <c:val>
            <c:numRef>
              <c:f>Sommaire!$D$8:$E$8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19-4491-9E33-A8FBB19D17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11457679"/>
        <c:axId val="211461999"/>
      </c:barChart>
      <c:catAx>
        <c:axId val="2114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61999"/>
        <c:crosses val="autoZero"/>
        <c:auto val="1"/>
        <c:lblAlgn val="ctr"/>
        <c:lblOffset val="100"/>
        <c:noMultiLvlLbl val="0"/>
      </c:catAx>
      <c:valAx>
        <c:axId val="211461999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11457679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Sommaire!$C$28</c:f>
              <c:strCache>
                <c:ptCount val="1"/>
                <c:pt idx="0">
                  <c:v>Total des passifs</c:v>
                </c:pt>
              </c:strCache>
            </c:strRef>
          </c:tx>
          <c:spPr>
            <a:solidFill>
              <a:srgbClr val="F4433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Sommaire!$D$24:$E$26</c:f>
              <c:strCache>
                <c:ptCount val="2"/>
                <c:pt idx="0">
                  <c:v> À ce jour </c:v>
                </c:pt>
                <c:pt idx="1">
                  <c:v> Début de l'exercice </c:v>
                </c:pt>
              </c:strCache>
            </c:strRef>
          </c:cat>
          <c:val>
            <c:numRef>
              <c:f>Sommaire!$D$28:$E$28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E9-4083-9AF4-24EE620DF1E9}"/>
            </c:ext>
          </c:extLst>
        </c:ser>
        <c:ser>
          <c:idx val="0"/>
          <c:order val="1"/>
          <c:tx>
            <c:strRef>
              <c:f>Sommaire!$C$27</c:f>
              <c:strCache>
                <c:ptCount val="1"/>
                <c:pt idx="0">
                  <c:v>Total des actifs</c:v>
                </c:pt>
              </c:strCache>
            </c:strRef>
          </c:tx>
          <c:spPr>
            <a:solidFill>
              <a:srgbClr val="4CAF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Sommaire!$D$24:$E$26</c:f>
              <c:strCache>
                <c:ptCount val="2"/>
                <c:pt idx="0">
                  <c:v> À ce jour </c:v>
                </c:pt>
                <c:pt idx="1">
                  <c:v> Début de l'exercice </c:v>
                </c:pt>
              </c:strCache>
            </c:strRef>
          </c:cat>
          <c:val>
            <c:numRef>
              <c:f>Sommaire!$D$27:$E$27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9-4083-9AF4-24EE620DF1E9}"/>
            </c:ext>
          </c:extLst>
        </c:ser>
        <c:ser>
          <c:idx val="3"/>
          <c:order val="2"/>
          <c:tx>
            <c:v>Avoir net</c:v>
          </c:tx>
          <c:spPr>
            <a:solidFill>
              <a:srgbClr val="2196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Sommaire!$D$24:$E$26</c:f>
              <c:strCache>
                <c:ptCount val="2"/>
                <c:pt idx="0">
                  <c:v> À ce jour </c:v>
                </c:pt>
                <c:pt idx="1">
                  <c:v> Début de l'exercice </c:v>
                </c:pt>
              </c:strCache>
            </c:strRef>
          </c:cat>
          <c:val>
            <c:numRef>
              <c:f>Sommaire!$D$30:$E$30</c:f>
              <c:numCache>
                <c:formatCode>"$"#,##0.00_);[Red]\("$"#,##0.00\)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E9-4083-9AF4-24EE620DF1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4857887"/>
        <c:axId val="144858367"/>
      </c:barChart>
      <c:catAx>
        <c:axId val="144857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858367"/>
        <c:crosses val="autoZero"/>
        <c:auto val="1"/>
        <c:lblAlgn val="ctr"/>
        <c:lblOffset val="100"/>
        <c:noMultiLvlLbl val="0"/>
      </c:catAx>
      <c:valAx>
        <c:axId val="144858367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4485788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33468514963135615"/>
          <c:y val="3.4422928070794293E-2"/>
          <c:w val="0.52608313486601754"/>
          <c:h val="8.26551072198913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433717</xdr:colOff>
      <xdr:row>13</xdr:row>
      <xdr:rowOff>9279</xdr:rowOff>
    </xdr:from>
    <xdr:to>
      <xdr:col>6</xdr:col>
      <xdr:colOff>234886</xdr:colOff>
      <xdr:row>21</xdr:row>
      <xdr:rowOff>162944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BBC7AC-4B60-4AB3-2771-B940CA7EB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7758</xdr:colOff>
      <xdr:row>32</xdr:row>
      <xdr:rowOff>9201</xdr:rowOff>
    </xdr:from>
    <xdr:to>
      <xdr:col>6</xdr:col>
      <xdr:colOff>239344</xdr:colOff>
      <xdr:row>46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4144F3-46E4-BE79-C349-811F5C42D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114300</xdr:rowOff>
        </xdr:from>
        <xdr:to>
          <xdr:col>6</xdr:col>
          <xdr:colOff>647700</xdr:colOff>
          <xdr:row>3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114300</xdr:rowOff>
        </xdr:from>
        <xdr:to>
          <xdr:col>6</xdr:col>
          <xdr:colOff>647700</xdr:colOff>
          <xdr:row>3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565150</xdr:colOff>
          <xdr:row>0</xdr:row>
          <xdr:rowOff>31750</xdr:rowOff>
        </xdr:from>
        <xdr:to>
          <xdr:col>6</xdr:col>
          <xdr:colOff>628650</xdr:colOff>
          <xdr:row>1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Produire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26</xdr:row>
          <xdr:rowOff>19050</xdr:rowOff>
        </xdr:from>
        <xdr:to>
          <xdr:col>3</xdr:col>
          <xdr:colOff>914400</xdr:colOff>
          <xdr:row>27</xdr:row>
          <xdr:rowOff>177800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Verrouiller toutes les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29</xdr:row>
          <xdr:rowOff>19050</xdr:rowOff>
        </xdr:from>
        <xdr:to>
          <xdr:col>3</xdr:col>
          <xdr:colOff>914400</xdr:colOff>
          <xdr:row>30</xdr:row>
          <xdr:rowOff>177800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Déverrouiller toutes les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19050</xdr:rowOff>
        </xdr:from>
        <xdr:to>
          <xdr:col>5</xdr:col>
          <xdr:colOff>895350</xdr:colOff>
          <xdr:row>30</xdr:row>
          <xdr:rowOff>177800</xdr:rowOff>
        </xdr:to>
        <xdr:sp macro="" textlink="">
          <xdr:nvSpPr>
            <xdr:cNvPr id="12291" name="Button 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Réinitialiser les dates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D7B338-FDA0-4BCD-90E8-E0102F538580}" name="JG" displayName="JG" ref="A4:H5" totalsRowShown="0" headerRowDxfId="17" dataDxfId="16">
  <autoFilter ref="A4:H5" xr:uid="{CBD7B338-FDA0-4BCD-90E8-E0102F538580}"/>
  <sortState xmlns:xlrd2="http://schemas.microsoft.com/office/spreadsheetml/2017/richdata2" ref="A5:H5">
    <sortCondition ref="A4:A5"/>
  </sortState>
  <tableColumns count="8">
    <tableColumn id="1" xr3:uid="{77073E3F-DC2F-45BC-AA8B-9DB2DE7049A4}" name="Date" dataDxfId="15"/>
    <tableColumn id="8" xr3:uid="{D8CBC9E2-07F6-4D8F-B0C3-55A2A6EE4984}" name="Facture n°" dataDxfId="14"/>
    <tableColumn id="2" xr3:uid="{58AA0DCA-81B6-4FB5-A2D1-A1DDF9D8E349}" name="Objet" dataDxfId="13"/>
    <tableColumn id="3" xr3:uid="{37698B62-3581-4092-994E-2D3EC609225E}" name="Débit" dataDxfId="12"/>
    <tableColumn id="4" xr3:uid="{1BEDB326-95AC-41E9-ABFA-14B5B36C7D9D}" name="Crédit" dataDxfId="11"/>
    <tableColumn id="5" xr3:uid="{300B5E05-961D-4225-B6AB-BFCDE082A7A0}" name="Catégorie" dataDxfId="10"/>
    <tableColumn id="6" xr3:uid="{5920722F-8532-47DF-B121-7DF97452FDDB}" name="Sous-catégorie" dataDxfId="9"/>
    <tableColumn id="7" xr3:uid="{4553EE99-3301-47EB-A2D3-402E518B82FC}" name="Compte" dataDxfId="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6FFFBF-073F-4785-8EE2-2EF653804626}" name="tab_categories" displayName="tab_categories" ref="A1:A25" totalsRowShown="0">
  <autoFilter ref="A1:A25" xr:uid="{D06FFFBF-073F-4785-8EE2-2EF653804626}">
    <filterColumn colId="0" hiddenButton="1"/>
  </autoFilter>
  <sortState xmlns:xlrd2="http://schemas.microsoft.com/office/spreadsheetml/2017/richdata2" ref="A2:A25">
    <sortCondition ref="A1:A25"/>
  </sortState>
  <tableColumns count="1">
    <tableColumn id="1" xr3:uid="{B3B0E269-F569-4A5D-9A9E-B88F1A9202DB}" name="Catégories">
      <calculatedColumnFormula array="1">IFERROR(INDEX(Prévision!B:B, SMALL(IF(Prévision!B:B&lt;&gt;"", ROW(Prévision!B:B)), ROW(1:1))), "")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DA506C-4E78-4EDA-8BD5-1CD878AEC041}" name="Table3" displayName="Table3" ref="A27:A51" totalsRowShown="0" headerRowDxfId="7" dataDxfId="6" tableBorderDxfId="5">
  <autoFilter ref="A27:A51" xr:uid="{26DA506C-4E78-4EDA-8BD5-1CD878AEC041}">
    <filterColumn colId="0" hiddenButton="1"/>
  </autoFilter>
  <tableColumns count="1">
    <tableColumn id="1" xr3:uid="{89EA77D5-AAAD-47FD-851F-7DF808E8E8BC}" name="Comptes" dataDxfId="4">
      <calculatedColumnFormula array="1">IFERROR(INDEX('Bilan des comptes'!C:C, SMALL(IF('Bilan des comptes'!C:C&lt;&gt;"", ROW('Bilan des comptes'!C:C)), ROW(1:1))), "")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5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47E9-D62C-4BC5-8CF4-A08CF66B9E00}">
  <sheetPr codeName="Sheet1"/>
  <dimension ref="A1:G95"/>
  <sheetViews>
    <sheetView tabSelected="1" view="pageLayout" zoomScaleNormal="100" workbookViewId="0"/>
  </sheetViews>
  <sheetFormatPr defaultColWidth="8.7265625" defaultRowHeight="14" x14ac:dyDescent="0.3"/>
  <cols>
    <col min="1" max="1" width="5" style="3" customWidth="1"/>
    <col min="2" max="2" width="2.453125" style="3" customWidth="1"/>
    <col min="3" max="3" width="27.453125" style="1" customWidth="1"/>
    <col min="4" max="6" width="15.54296875" style="5" customWidth="1"/>
    <col min="7" max="7" width="7.54296875" style="1" customWidth="1"/>
    <col min="8" max="16384" width="8.7265625" style="1"/>
  </cols>
  <sheetData>
    <row r="1" spans="1:7" ht="14.5" customHeight="1" x14ac:dyDescent="0.35">
      <c r="A1" s="17" t="s">
        <v>0</v>
      </c>
      <c r="B1" s="16"/>
      <c r="C1" s="16"/>
      <c r="D1" s="16"/>
      <c r="E1" s="16"/>
      <c r="F1" s="16"/>
      <c r="G1" s="49"/>
    </row>
    <row r="2" spans="1:7" ht="15.5" x14ac:dyDescent="0.35">
      <c r="A2" s="17" t="str">
        <f>'Suivi budgétaire'!A2</f>
        <v>en date du 31 décembre 1899</v>
      </c>
      <c r="B2" s="16"/>
      <c r="C2" s="16"/>
      <c r="D2" s="16"/>
      <c r="E2" s="16"/>
      <c r="F2" s="16"/>
      <c r="G2" s="49"/>
    </row>
    <row r="3" spans="1:7" ht="14.5" thickBot="1" x14ac:dyDescent="0.35"/>
    <row r="4" spans="1:7" ht="14.5" x14ac:dyDescent="0.35">
      <c r="A4"/>
      <c r="B4"/>
      <c r="C4"/>
      <c r="D4" s="96" t="s">
        <v>1</v>
      </c>
      <c r="E4" s="96" t="s">
        <v>2</v>
      </c>
      <c r="F4" s="98" t="s">
        <v>3</v>
      </c>
    </row>
    <row r="5" spans="1:7" ht="15" thickBot="1" x14ac:dyDescent="0.4">
      <c r="A5"/>
      <c r="B5"/>
      <c r="C5"/>
      <c r="D5" s="97"/>
      <c r="E5" s="97"/>
      <c r="F5" s="99"/>
    </row>
    <row r="6" spans="1:7" ht="5.5" customHeight="1" x14ac:dyDescent="0.35">
      <c r="A6"/>
      <c r="B6"/>
      <c r="C6"/>
      <c r="D6" s="40"/>
      <c r="E6" s="40"/>
      <c r="F6" s="41"/>
    </row>
    <row r="7" spans="1:7" ht="14.5" x14ac:dyDescent="0.35">
      <c r="A7" s="13"/>
      <c r="B7"/>
      <c r="C7" s="1" t="s">
        <v>4</v>
      </c>
      <c r="D7" s="27">
        <f>Prévision!F27</f>
        <v>0</v>
      </c>
      <c r="E7" s="27">
        <v>0</v>
      </c>
      <c r="F7" s="45" t="e">
        <f>E7/D7</f>
        <v>#DIV/0!</v>
      </c>
    </row>
    <row r="8" spans="1:7" s="3" customFormat="1" ht="14.5" x14ac:dyDescent="0.35">
      <c r="A8" s="13"/>
      <c r="B8"/>
      <c r="C8" s="1" t="s">
        <v>5</v>
      </c>
      <c r="D8" s="27">
        <f>Prévision!F85</f>
        <v>0</v>
      </c>
      <c r="E8" s="27">
        <v>0</v>
      </c>
      <c r="F8" s="45" t="e">
        <f>E8/D8</f>
        <v>#DIV/0!</v>
      </c>
    </row>
    <row r="9" spans="1:7" s="42" customFormat="1" ht="5.5" customHeight="1" thickBot="1" x14ac:dyDescent="0.35">
      <c r="A9" s="3"/>
      <c r="B9" s="3"/>
      <c r="C9" s="1"/>
      <c r="D9" s="7"/>
      <c r="E9" s="7"/>
      <c r="F9" s="84"/>
      <c r="G9" s="1"/>
    </row>
    <row r="10" spans="1:7" ht="14.5" thickTop="1" x14ac:dyDescent="0.3">
      <c r="A10" s="3" t="s">
        <v>6</v>
      </c>
      <c r="D10" s="100">
        <f>IF((D7-D8)=Prévision!F90,Prévision!F90,"ERREUR")</f>
        <v>0</v>
      </c>
      <c r="E10" s="100">
        <v>0</v>
      </c>
      <c r="F10" s="102" t="e">
        <f>NA()</f>
        <v>#N/A</v>
      </c>
    </row>
    <row r="11" spans="1:7" ht="14.5" thickBot="1" x14ac:dyDescent="0.35">
      <c r="A11" s="3" t="s">
        <v>7</v>
      </c>
      <c r="D11" s="101"/>
      <c r="E11" s="101"/>
      <c r="F11" s="103"/>
    </row>
    <row r="12" spans="1:7" customFormat="1" ht="5.5" customHeight="1" x14ac:dyDescent="0.35"/>
    <row r="13" spans="1:7" x14ac:dyDescent="0.3">
      <c r="D13" s="43"/>
      <c r="E13" s="43"/>
      <c r="F13" s="43"/>
    </row>
    <row r="14" spans="1:7" x14ac:dyDescent="0.3">
      <c r="D14" s="43"/>
      <c r="E14" s="43"/>
      <c r="F14" s="43"/>
    </row>
    <row r="15" spans="1:7" x14ac:dyDescent="0.3">
      <c r="D15" s="43"/>
      <c r="E15" s="43"/>
      <c r="F15" s="43"/>
    </row>
    <row r="16" spans="1:7" x14ac:dyDescent="0.3">
      <c r="D16" s="43"/>
      <c r="E16" s="43"/>
      <c r="F16" s="43"/>
    </row>
    <row r="17" spans="1:6" x14ac:dyDescent="0.3">
      <c r="D17" s="43"/>
      <c r="E17" s="43"/>
      <c r="F17" s="43"/>
    </row>
    <row r="18" spans="1:6" x14ac:dyDescent="0.3">
      <c r="D18" s="43"/>
      <c r="E18" s="43"/>
      <c r="F18" s="43"/>
    </row>
    <row r="19" spans="1:6" x14ac:dyDescent="0.3">
      <c r="D19" s="43"/>
      <c r="E19" s="43"/>
      <c r="F19" s="43"/>
    </row>
    <row r="20" spans="1:6" x14ac:dyDescent="0.3">
      <c r="D20" s="43"/>
      <c r="E20" s="43"/>
      <c r="F20" s="43"/>
    </row>
    <row r="21" spans="1:6" x14ac:dyDescent="0.3">
      <c r="D21" s="43"/>
      <c r="E21" s="43"/>
      <c r="F21" s="43"/>
    </row>
    <row r="22" spans="1:6" x14ac:dyDescent="0.3">
      <c r="D22" s="43"/>
      <c r="E22" s="43"/>
      <c r="F22" s="43"/>
    </row>
    <row r="23" spans="1:6" ht="14.5" thickBot="1" x14ac:dyDescent="0.35">
      <c r="D23" s="43"/>
      <c r="E23" s="43"/>
      <c r="F23" s="43"/>
    </row>
    <row r="24" spans="1:6" ht="14.5" x14ac:dyDescent="0.35">
      <c r="C24"/>
      <c r="D24" s="96" t="s">
        <v>8</v>
      </c>
      <c r="E24" s="98" t="s">
        <v>9</v>
      </c>
      <c r="F24" s="98" t="s">
        <v>10</v>
      </c>
    </row>
    <row r="25" spans="1:6" ht="15" thickBot="1" x14ac:dyDescent="0.4">
      <c r="A25"/>
      <c r="B25"/>
      <c r="D25" s="97"/>
      <c r="E25" s="99"/>
      <c r="F25" s="99"/>
    </row>
    <row r="26" spans="1:6" s="42" customFormat="1" ht="5.5" customHeight="1" x14ac:dyDescent="0.3">
      <c r="A26" s="3"/>
      <c r="B26" s="3"/>
      <c r="C26" s="1"/>
      <c r="D26" s="7"/>
      <c r="E26" s="7"/>
      <c r="F26" s="7"/>
    </row>
    <row r="27" spans="1:6" s="3" customFormat="1" ht="14.5" x14ac:dyDescent="0.35">
      <c r="A27"/>
      <c r="B27"/>
      <c r="C27" s="1" t="s">
        <v>11</v>
      </c>
      <c r="D27" s="27">
        <f>'Bilan des comptes'!D18</f>
        <v>0</v>
      </c>
      <c r="E27" s="27">
        <f>'Bilan des comptes'!G18</f>
        <v>0</v>
      </c>
      <c r="F27" s="46" t="str">
        <f>IF(E27=0, "", (D27-E27)/E27)</f>
        <v/>
      </c>
    </row>
    <row r="28" spans="1:6" ht="14.5" x14ac:dyDescent="0.35">
      <c r="A28"/>
      <c r="B28"/>
      <c r="C28" s="1" t="s">
        <v>12</v>
      </c>
      <c r="D28" s="27">
        <f>'Bilan des comptes'!D36</f>
        <v>0</v>
      </c>
      <c r="E28" s="27">
        <f>'Bilan des comptes'!G36</f>
        <v>0</v>
      </c>
      <c r="F28" s="46" t="str">
        <f>IF(E28=0, "N/A", (D28-E28)/E28)</f>
        <v>N/A</v>
      </c>
    </row>
    <row r="29" spans="1:6" s="42" customFormat="1" ht="5.5" customHeight="1" thickBot="1" x14ac:dyDescent="0.35">
      <c r="A29" s="3"/>
      <c r="B29" s="3"/>
      <c r="C29" s="1"/>
      <c r="D29" s="7"/>
      <c r="E29" s="7"/>
      <c r="F29" s="7"/>
    </row>
    <row r="30" spans="1:6" ht="16.5" thickTop="1" thickBot="1" x14ac:dyDescent="0.4">
      <c r="A30" s="4" t="s">
        <v>13</v>
      </c>
      <c r="B30"/>
      <c r="C30"/>
      <c r="D30" s="44">
        <f>IF((D27-D28)='Bilan des comptes'!D45,'Bilan des comptes'!D45,"ERREUR")</f>
        <v>0</v>
      </c>
      <c r="E30" s="44">
        <f>IF((E27-E28)='Bilan des comptes'!G45,'Bilan des comptes'!G45,"ERREUR")</f>
        <v>0</v>
      </c>
      <c r="F30" s="47" t="str">
        <f>IFERROR( (D30-E30)/E30, "N/A")</f>
        <v>N/A</v>
      </c>
    </row>
    <row r="31" spans="1:6" customFormat="1" ht="5.5" customHeight="1" x14ac:dyDescent="0.35"/>
    <row r="32" spans="1:6" ht="14.5" x14ac:dyDescent="0.35">
      <c r="A32"/>
      <c r="B32"/>
      <c r="C32"/>
      <c r="D32"/>
      <c r="E32"/>
      <c r="F32"/>
    </row>
    <row r="33" spans="1:6" ht="14.5" x14ac:dyDescent="0.35">
      <c r="A33"/>
      <c r="B33"/>
      <c r="C33"/>
      <c r="D33"/>
      <c r="E33"/>
      <c r="F33"/>
    </row>
    <row r="34" spans="1:6" ht="14.5" x14ac:dyDescent="0.35">
      <c r="A34"/>
      <c r="B34"/>
      <c r="C34"/>
      <c r="D34"/>
      <c r="E34"/>
      <c r="F34"/>
    </row>
    <row r="35" spans="1:6" ht="14.5" x14ac:dyDescent="0.35">
      <c r="A35"/>
      <c r="B35"/>
      <c r="C35"/>
      <c r="D35"/>
      <c r="E35"/>
      <c r="F35"/>
    </row>
    <row r="36" spans="1:6" s="13" customFormat="1" ht="17.149999999999999" customHeight="1" x14ac:dyDescent="0.35">
      <c r="A36"/>
      <c r="B36"/>
      <c r="C36"/>
      <c r="D36"/>
      <c r="E36"/>
      <c r="F36"/>
    </row>
    <row r="37" spans="1:6" ht="14.5" x14ac:dyDescent="0.35">
      <c r="A37"/>
      <c r="B37"/>
      <c r="C37"/>
      <c r="D37"/>
      <c r="E37"/>
      <c r="F37"/>
    </row>
    <row r="38" spans="1:6" ht="14.5" x14ac:dyDescent="0.35">
      <c r="A38"/>
      <c r="B38"/>
      <c r="C38"/>
      <c r="D38"/>
      <c r="E38"/>
      <c r="F38"/>
    </row>
    <row r="39" spans="1:6" ht="14.5" x14ac:dyDescent="0.35">
      <c r="A39"/>
      <c r="B39"/>
      <c r="C39"/>
      <c r="D39"/>
      <c r="E39"/>
      <c r="F39"/>
    </row>
    <row r="40" spans="1:6" ht="14.5" x14ac:dyDescent="0.35">
      <c r="A40"/>
      <c r="B40"/>
      <c r="C40"/>
      <c r="D40"/>
      <c r="E40"/>
      <c r="F40"/>
    </row>
    <row r="41" spans="1:6" ht="14.5" x14ac:dyDescent="0.35">
      <c r="A41"/>
      <c r="B41"/>
      <c r="C41"/>
      <c r="D41"/>
      <c r="E41"/>
      <c r="F41"/>
    </row>
    <row r="42" spans="1:6" ht="14.5" x14ac:dyDescent="0.35">
      <c r="A42"/>
      <c r="B42"/>
      <c r="C42"/>
      <c r="D42"/>
      <c r="E42"/>
      <c r="F42"/>
    </row>
    <row r="43" spans="1:6" ht="14.5" x14ac:dyDescent="0.35">
      <c r="A43"/>
      <c r="B43"/>
      <c r="C43"/>
      <c r="D43"/>
      <c r="E43"/>
      <c r="F43"/>
    </row>
    <row r="44" spans="1:6" ht="14.5" x14ac:dyDescent="0.35">
      <c r="A44"/>
      <c r="B44"/>
      <c r="C44"/>
      <c r="D44"/>
      <c r="E44"/>
      <c r="F44"/>
    </row>
    <row r="45" spans="1:6" ht="14.5" x14ac:dyDescent="0.35">
      <c r="A45"/>
      <c r="B45"/>
      <c r="C45"/>
      <c r="D45"/>
      <c r="E45"/>
      <c r="F45"/>
    </row>
    <row r="46" spans="1:6" ht="14.5" x14ac:dyDescent="0.35">
      <c r="A46"/>
      <c r="B46"/>
      <c r="C46"/>
      <c r="D46"/>
      <c r="E46"/>
      <c r="F46"/>
    </row>
    <row r="47" spans="1:6" ht="14.5" x14ac:dyDescent="0.35">
      <c r="A47"/>
      <c r="B47"/>
      <c r="C47"/>
      <c r="D47"/>
      <c r="E47"/>
      <c r="F47"/>
    </row>
    <row r="48" spans="1:6" ht="14.5" x14ac:dyDescent="0.35">
      <c r="A48"/>
      <c r="B48"/>
      <c r="C48"/>
      <c r="D48"/>
      <c r="E48"/>
      <c r="F48"/>
    </row>
    <row r="49" spans="1:6" ht="14.5" x14ac:dyDescent="0.35">
      <c r="A49"/>
      <c r="B49"/>
      <c r="C49"/>
      <c r="D49"/>
      <c r="E49"/>
      <c r="F49"/>
    </row>
    <row r="50" spans="1:6" ht="14.5" x14ac:dyDescent="0.35">
      <c r="A50"/>
      <c r="B50"/>
      <c r="C50"/>
      <c r="D50"/>
      <c r="E50"/>
      <c r="F50"/>
    </row>
    <row r="51" spans="1:6" ht="14.5" x14ac:dyDescent="0.35">
      <c r="A51"/>
      <c r="B51"/>
      <c r="C51"/>
      <c r="D51"/>
      <c r="E51"/>
      <c r="F51"/>
    </row>
    <row r="52" spans="1:6" ht="14.5" x14ac:dyDescent="0.35">
      <c r="A52"/>
      <c r="B52"/>
      <c r="C52"/>
      <c r="D52"/>
      <c r="E52"/>
      <c r="F52"/>
    </row>
    <row r="53" spans="1:6" ht="14.5" x14ac:dyDescent="0.35">
      <c r="A53"/>
      <c r="B53"/>
      <c r="C53"/>
      <c r="D53"/>
      <c r="E53"/>
      <c r="F53"/>
    </row>
    <row r="54" spans="1:6" ht="14.5" x14ac:dyDescent="0.35">
      <c r="A54"/>
      <c r="B54"/>
      <c r="C54"/>
      <c r="D54"/>
      <c r="E54"/>
      <c r="F54"/>
    </row>
    <row r="55" spans="1:6" ht="14.5" x14ac:dyDescent="0.35">
      <c r="A55"/>
      <c r="B55"/>
      <c r="C55"/>
      <c r="D55"/>
      <c r="E55"/>
      <c r="F55"/>
    </row>
    <row r="56" spans="1:6" ht="14.5" x14ac:dyDescent="0.35">
      <c r="A56"/>
      <c r="B56"/>
      <c r="C56"/>
      <c r="D56"/>
      <c r="E56"/>
      <c r="F56"/>
    </row>
    <row r="57" spans="1:6" ht="14.5" x14ac:dyDescent="0.35">
      <c r="A57"/>
      <c r="B57"/>
      <c r="C57"/>
      <c r="D57"/>
      <c r="E57"/>
      <c r="F57"/>
    </row>
    <row r="58" spans="1:6" ht="14.5" x14ac:dyDescent="0.35">
      <c r="A58"/>
      <c r="B58"/>
      <c r="C58"/>
      <c r="D58"/>
      <c r="E58"/>
      <c r="F58"/>
    </row>
    <row r="59" spans="1:6" ht="14.5" x14ac:dyDescent="0.35">
      <c r="A59"/>
      <c r="B59"/>
      <c r="C59"/>
      <c r="D59"/>
      <c r="E59"/>
      <c r="F59"/>
    </row>
    <row r="60" spans="1:6" ht="14.5" x14ac:dyDescent="0.35">
      <c r="A60"/>
      <c r="B60"/>
      <c r="C60"/>
      <c r="D60"/>
      <c r="E60"/>
      <c r="F60"/>
    </row>
    <row r="61" spans="1:6" ht="14.5" x14ac:dyDescent="0.35">
      <c r="A61"/>
      <c r="B61"/>
      <c r="C61"/>
      <c r="D61"/>
      <c r="E61"/>
      <c r="F61"/>
    </row>
    <row r="62" spans="1:6" ht="14.5" x14ac:dyDescent="0.35">
      <c r="A62"/>
      <c r="B62"/>
      <c r="C62"/>
      <c r="D62"/>
      <c r="E62"/>
      <c r="F62"/>
    </row>
    <row r="63" spans="1:6" ht="14.5" x14ac:dyDescent="0.35">
      <c r="A63"/>
      <c r="B63"/>
      <c r="C63"/>
      <c r="D63"/>
      <c r="E63"/>
      <c r="F63"/>
    </row>
    <row r="64" spans="1:6" ht="14.5" x14ac:dyDescent="0.35">
      <c r="A64"/>
      <c r="B64"/>
      <c r="C64"/>
      <c r="D64"/>
      <c r="E64"/>
      <c r="F64"/>
    </row>
    <row r="65" spans="1:6" ht="14.5" x14ac:dyDescent="0.35">
      <c r="A65"/>
      <c r="B65"/>
      <c r="C65"/>
      <c r="D65"/>
      <c r="E65"/>
      <c r="F65"/>
    </row>
    <row r="66" spans="1:6" ht="14.5" x14ac:dyDescent="0.35">
      <c r="A66"/>
      <c r="B66"/>
      <c r="C66"/>
      <c r="D66"/>
      <c r="E66"/>
      <c r="F66"/>
    </row>
    <row r="67" spans="1:6" ht="14.5" x14ac:dyDescent="0.35">
      <c r="A67"/>
      <c r="B67"/>
      <c r="C67"/>
      <c r="D67"/>
      <c r="E67"/>
      <c r="F67"/>
    </row>
    <row r="68" spans="1:6" ht="14.5" x14ac:dyDescent="0.35">
      <c r="A68"/>
      <c r="B68"/>
      <c r="C68"/>
      <c r="D68"/>
      <c r="E68"/>
      <c r="F68"/>
    </row>
    <row r="69" spans="1:6" ht="14.5" x14ac:dyDescent="0.35">
      <c r="A69"/>
      <c r="B69"/>
      <c r="C69"/>
      <c r="D69"/>
      <c r="E69"/>
      <c r="F69"/>
    </row>
    <row r="70" spans="1:6" ht="14.5" x14ac:dyDescent="0.35">
      <c r="A70"/>
      <c r="B70"/>
      <c r="C70"/>
      <c r="D70"/>
      <c r="E70"/>
      <c r="F70"/>
    </row>
    <row r="71" spans="1:6" ht="14.5" x14ac:dyDescent="0.35">
      <c r="A71"/>
      <c r="B71"/>
      <c r="C71"/>
      <c r="D71"/>
      <c r="E71"/>
      <c r="F71"/>
    </row>
    <row r="72" spans="1:6" ht="14.5" x14ac:dyDescent="0.35">
      <c r="A72"/>
      <c r="B72"/>
      <c r="C72"/>
      <c r="D72"/>
      <c r="E72"/>
      <c r="F72"/>
    </row>
    <row r="73" spans="1:6" ht="14.5" x14ac:dyDescent="0.35">
      <c r="A73"/>
      <c r="B73"/>
      <c r="C73"/>
      <c r="D73"/>
      <c r="E73"/>
      <c r="F73"/>
    </row>
    <row r="74" spans="1:6" ht="14.5" x14ac:dyDescent="0.35">
      <c r="A74"/>
      <c r="B74"/>
      <c r="C74"/>
      <c r="D74"/>
      <c r="E74"/>
      <c r="F74"/>
    </row>
    <row r="75" spans="1:6" ht="14.5" x14ac:dyDescent="0.35">
      <c r="A75"/>
      <c r="B75"/>
      <c r="C75"/>
      <c r="D75"/>
      <c r="E75"/>
      <c r="F75"/>
    </row>
    <row r="76" spans="1:6" ht="14.5" x14ac:dyDescent="0.35">
      <c r="A76"/>
      <c r="B76"/>
      <c r="C76"/>
      <c r="D76"/>
      <c r="E76"/>
      <c r="F76"/>
    </row>
    <row r="77" spans="1:6" ht="14.5" x14ac:dyDescent="0.35">
      <c r="A77"/>
      <c r="B77"/>
      <c r="C77"/>
      <c r="D77"/>
      <c r="E77"/>
      <c r="F77"/>
    </row>
    <row r="78" spans="1:6" ht="14.5" x14ac:dyDescent="0.35">
      <c r="A78"/>
      <c r="B78"/>
      <c r="C78"/>
      <c r="D78"/>
      <c r="E78"/>
      <c r="F78"/>
    </row>
    <row r="79" spans="1:6" ht="14.5" x14ac:dyDescent="0.35">
      <c r="A79"/>
      <c r="B79"/>
      <c r="C79"/>
      <c r="D79"/>
      <c r="E79"/>
      <c r="F79"/>
    </row>
    <row r="80" spans="1:6" ht="14.5" x14ac:dyDescent="0.35">
      <c r="A80"/>
      <c r="B80"/>
      <c r="C80"/>
      <c r="D80"/>
      <c r="E80"/>
      <c r="F80"/>
    </row>
    <row r="81" spans="1:6" ht="14.5" x14ac:dyDescent="0.35">
      <c r="A81"/>
      <c r="B81"/>
      <c r="C81"/>
      <c r="D81"/>
      <c r="E81"/>
      <c r="F81"/>
    </row>
    <row r="82" spans="1:6" ht="14.5" x14ac:dyDescent="0.35">
      <c r="A82"/>
      <c r="B82"/>
      <c r="C82"/>
      <c r="D82"/>
      <c r="E82"/>
      <c r="F82"/>
    </row>
    <row r="83" spans="1:6" ht="14.5" x14ac:dyDescent="0.35">
      <c r="A83"/>
      <c r="B83"/>
      <c r="C83"/>
      <c r="D83"/>
      <c r="E83"/>
      <c r="F83"/>
    </row>
    <row r="84" spans="1:6" ht="14.5" x14ac:dyDescent="0.35">
      <c r="A84"/>
      <c r="B84"/>
      <c r="C84"/>
      <c r="D84"/>
      <c r="E84"/>
      <c r="F84"/>
    </row>
    <row r="85" spans="1:6" ht="14.5" x14ac:dyDescent="0.35">
      <c r="A85"/>
      <c r="B85"/>
      <c r="C85"/>
      <c r="D85"/>
      <c r="E85"/>
      <c r="F85"/>
    </row>
    <row r="86" spans="1:6" ht="14.5" x14ac:dyDescent="0.35">
      <c r="A86"/>
      <c r="B86"/>
      <c r="C86"/>
      <c r="D86"/>
      <c r="E86"/>
      <c r="F86"/>
    </row>
    <row r="87" spans="1:6" ht="14.5" x14ac:dyDescent="0.35">
      <c r="A87"/>
      <c r="B87"/>
      <c r="C87"/>
      <c r="D87"/>
      <c r="E87"/>
      <c r="F87"/>
    </row>
    <row r="88" spans="1:6" ht="5.9" customHeight="1" x14ac:dyDescent="0.35">
      <c r="A88"/>
      <c r="B88"/>
      <c r="C88"/>
      <c r="D88"/>
      <c r="E88"/>
      <c r="F88"/>
    </row>
    <row r="89" spans="1:6" s="14" customFormat="1" ht="17.149999999999999" customHeight="1" x14ac:dyDescent="0.35">
      <c r="A89"/>
      <c r="B89"/>
      <c r="C89"/>
      <c r="D89"/>
      <c r="E89"/>
      <c r="F89"/>
    </row>
    <row r="90" spans="1:6" ht="14.5" x14ac:dyDescent="0.35">
      <c r="A90"/>
      <c r="B90"/>
      <c r="C90"/>
      <c r="D90"/>
      <c r="E90"/>
      <c r="F90"/>
    </row>
    <row r="91" spans="1:6" ht="14.5" x14ac:dyDescent="0.35">
      <c r="A91"/>
      <c r="B91"/>
      <c r="C91"/>
      <c r="D91"/>
      <c r="E91"/>
      <c r="F91"/>
    </row>
    <row r="92" spans="1:6" ht="14.5" x14ac:dyDescent="0.35">
      <c r="A92"/>
      <c r="B92"/>
      <c r="C92"/>
      <c r="D92"/>
      <c r="E92"/>
      <c r="F92"/>
    </row>
    <row r="93" spans="1:6" ht="14.5" x14ac:dyDescent="0.35">
      <c r="A93"/>
      <c r="B93"/>
      <c r="C93"/>
      <c r="D93"/>
      <c r="E93"/>
      <c r="F93"/>
    </row>
    <row r="94" spans="1:6" ht="14.5" x14ac:dyDescent="0.35">
      <c r="A94"/>
      <c r="B94"/>
      <c r="C94"/>
      <c r="D94"/>
      <c r="E94"/>
      <c r="F94"/>
    </row>
    <row r="95" spans="1:6" ht="14.5" x14ac:dyDescent="0.35">
      <c r="A95"/>
      <c r="B95"/>
      <c r="C95"/>
      <c r="D95"/>
      <c r="E95"/>
      <c r="F95"/>
    </row>
  </sheetData>
  <sheetProtection sheet="1" objects="1" scenarios="1"/>
  <mergeCells count="9">
    <mergeCell ref="D24:D25"/>
    <mergeCell ref="E24:E25"/>
    <mergeCell ref="F24:F25"/>
    <mergeCell ref="D4:D5"/>
    <mergeCell ref="E4:E5"/>
    <mergeCell ref="F4:F5"/>
    <mergeCell ref="D10:D11"/>
    <mergeCell ref="E10:E11"/>
    <mergeCell ref="F10:F11"/>
  </mergeCells>
  <conditionalFormatting sqref="A25:B25 D25:XFD25 A13:XFD24 A32:XFD1048576 A26:XFD30 A1:XFD11">
    <cfRule type="containsText" dxfId="3" priority="1" operator="containsText" text="ERREUR">
      <formula>NOT(ISERROR(SEARCH("ERREUR",A1)))</formula>
    </cfRule>
  </conditionalFormatting>
  <pageMargins left="0.70866141732283472" right="0.70866141732283472" top="1.3385826771653544" bottom="0.74803149606299213" header="0.31496062992125984" footer="0.31496062992125984"/>
  <pageSetup orientation="portrait" r:id="rId1"/>
  <headerFooter scaleWithDoc="0"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3FB1-76AE-4B96-B935-CA9AA77CE8DB}">
  <sheetPr codeName="Sheet2"/>
  <dimension ref="A1:I13"/>
  <sheetViews>
    <sheetView view="pageLayout" zoomScaleNormal="100" workbookViewId="0"/>
  </sheetViews>
  <sheetFormatPr defaultColWidth="8.7265625" defaultRowHeight="19.75" customHeight="1" x14ac:dyDescent="0.35"/>
  <cols>
    <col min="1" max="1" width="10.453125" style="22" customWidth="1"/>
    <col min="2" max="2" width="12.54296875" style="22" customWidth="1"/>
    <col min="3" max="3" width="25.1796875" style="13" customWidth="1"/>
    <col min="4" max="5" width="11.54296875" style="20" customWidth="1"/>
    <col min="6" max="7" width="18.81640625" style="20" customWidth="1"/>
    <col min="8" max="8" width="22.54296875" style="20" customWidth="1"/>
    <col min="9" max="9" width="13.81640625" style="14" customWidth="1"/>
    <col min="10" max="16384" width="8.7265625" style="14"/>
  </cols>
  <sheetData>
    <row r="1" spans="1:9" ht="19.75" customHeight="1" x14ac:dyDescent="0.35">
      <c r="A1" s="23" t="s">
        <v>14</v>
      </c>
      <c r="B1" s="36"/>
      <c r="C1" s="24"/>
      <c r="D1" s="25"/>
      <c r="E1" s="25"/>
      <c r="F1" s="24"/>
      <c r="G1" s="24"/>
      <c r="H1" s="24"/>
    </row>
    <row r="2" spans="1:9" ht="19.75" customHeight="1" x14ac:dyDescent="0.35">
      <c r="A2" s="34" t="s">
        <v>118</v>
      </c>
      <c r="B2" s="34"/>
      <c r="C2" s="35"/>
      <c r="D2" s="35"/>
      <c r="E2" s="35"/>
      <c r="F2" s="35"/>
      <c r="G2" s="35"/>
      <c r="H2" s="35"/>
    </row>
    <row r="3" spans="1:9" ht="19.75" customHeight="1" x14ac:dyDescent="0.35">
      <c r="A3" s="19"/>
      <c r="B3" s="19"/>
      <c r="C3" s="14"/>
      <c r="F3" s="14"/>
      <c r="G3" s="14"/>
      <c r="H3" s="14"/>
      <c r="I3" s="21"/>
    </row>
    <row r="4" spans="1:9" ht="19.75" customHeight="1" x14ac:dyDescent="0.35">
      <c r="A4" s="57" t="s">
        <v>15</v>
      </c>
      <c r="B4" s="57" t="s">
        <v>16</v>
      </c>
      <c r="C4" s="58" t="s">
        <v>17</v>
      </c>
      <c r="D4" s="59" t="s">
        <v>18</v>
      </c>
      <c r="E4" s="59" t="s">
        <v>19</v>
      </c>
      <c r="F4" s="58" t="s">
        <v>20</v>
      </c>
      <c r="G4" s="58" t="s">
        <v>21</v>
      </c>
      <c r="H4" s="58" t="s">
        <v>22</v>
      </c>
      <c r="I4" s="21"/>
    </row>
    <row r="5" spans="1:9" ht="19.75" customHeight="1" x14ac:dyDescent="0.35">
      <c r="A5" s="60"/>
      <c r="B5" s="61"/>
      <c r="C5" s="62"/>
      <c r="D5" s="63"/>
      <c r="E5" s="63"/>
      <c r="F5" s="62"/>
      <c r="G5" s="62"/>
      <c r="H5" s="62"/>
    </row>
    <row r="6" spans="1:9" ht="19.75" customHeight="1" x14ac:dyDescent="0.35">
      <c r="A6" s="19"/>
      <c r="B6" s="19"/>
      <c r="C6" s="14"/>
      <c r="F6" s="14"/>
      <c r="G6" s="14"/>
      <c r="H6" s="14"/>
    </row>
    <row r="7" spans="1:9" ht="19.75" customHeight="1" x14ac:dyDescent="0.35">
      <c r="A7" s="19"/>
      <c r="B7" s="19"/>
      <c r="C7" s="14"/>
      <c r="F7" s="14"/>
      <c r="G7" s="14"/>
      <c r="H7" s="14"/>
    </row>
    <row r="8" spans="1:9" ht="19.75" customHeight="1" x14ac:dyDescent="0.35">
      <c r="A8" s="19"/>
      <c r="B8" s="19"/>
      <c r="C8" s="14"/>
      <c r="F8" s="14"/>
      <c r="G8" s="14"/>
      <c r="H8" s="14"/>
    </row>
    <row r="9" spans="1:9" ht="19.75" customHeight="1" x14ac:dyDescent="0.35">
      <c r="A9" s="19"/>
      <c r="B9" s="19"/>
      <c r="C9" s="14"/>
      <c r="F9" s="14"/>
      <c r="G9" s="14"/>
      <c r="H9" s="14"/>
    </row>
    <row r="10" spans="1:9" ht="19.75" customHeight="1" x14ac:dyDescent="0.35">
      <c r="A10" s="19"/>
      <c r="B10" s="19"/>
      <c r="C10" s="14"/>
      <c r="F10" s="14"/>
      <c r="G10" s="14"/>
      <c r="H10" s="14"/>
    </row>
    <row r="11" spans="1:9" ht="19.75" customHeight="1" x14ac:dyDescent="0.35">
      <c r="A11" s="19"/>
      <c r="B11" s="19"/>
      <c r="C11" s="14"/>
      <c r="F11" s="14"/>
      <c r="G11" s="14"/>
      <c r="H11" s="14"/>
    </row>
    <row r="12" spans="1:9" ht="19.75" customHeight="1" x14ac:dyDescent="0.35">
      <c r="A12" s="19"/>
      <c r="B12" s="19"/>
      <c r="C12" s="14"/>
      <c r="F12" s="14"/>
      <c r="G12" s="14"/>
      <c r="H12" s="14"/>
    </row>
    <row r="13" spans="1:9" ht="19.75" customHeight="1" x14ac:dyDescent="0.35">
      <c r="A13" s="19"/>
      <c r="B13" s="19"/>
      <c r="C13" s="14"/>
      <c r="F13" s="14"/>
      <c r="G13" s="14"/>
      <c r="H13" s="14"/>
    </row>
  </sheetData>
  <sheetProtection sort="0"/>
  <dataValidations count="4">
    <dataValidation type="date" allowBlank="1" showInputMessage="1" showErrorMessage="1" sqref="A5:A1048576" xr:uid="{04B40CF4-ED94-4E5D-BE77-471357EBED38}">
      <formula1>36526</formula1>
      <formula2>401769</formula2>
    </dataValidation>
    <dataValidation type="list" allowBlank="1" showInputMessage="1" showErrorMessage="1" sqref="F5:F1048576" xr:uid="{2C5C113B-27F4-4B0E-BDD3-ACCDDB7489C8}">
      <formula1>categories</formula1>
    </dataValidation>
    <dataValidation type="list" allowBlank="1" showInputMessage="1" showErrorMessage="1" sqref="G5:G1048576" xr:uid="{377518A1-405F-415F-86C8-1D3207DE6954}">
      <formula1>sous_categories</formula1>
    </dataValidation>
    <dataValidation type="list" allowBlank="1" showInputMessage="1" showErrorMessage="1" sqref="H5:H1048576" xr:uid="{7FF33ED5-CCAE-46E8-AFAE-B461856D6B1E}">
      <formula1>comptes</formula1>
    </dataValidation>
  </dataValidations>
  <pageMargins left="0.31496062992125984" right="0.31496062992125984" top="1.3385826771653544" bottom="0.74803149606299213" header="0.31496062992125984" footer="0.31496062992125984"/>
  <pageSetup orientation="landscape" r:id="rId1"/>
  <headerFooter scaleWithDoc="0"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81AD-D539-4E9E-A483-58957D811E27}">
  <sheetPr codeName="Sheet7"/>
  <dimension ref="A1:H79"/>
  <sheetViews>
    <sheetView view="pageLayout" zoomScaleNormal="100" workbookViewId="0"/>
  </sheetViews>
  <sheetFormatPr defaultColWidth="8.7265625" defaultRowHeight="14" x14ac:dyDescent="0.3"/>
  <cols>
    <col min="1" max="1" width="5" style="3" customWidth="1"/>
    <col min="2" max="2" width="2.453125" style="55" customWidth="1"/>
    <col min="3" max="3" width="29.7265625" style="53" customWidth="1"/>
    <col min="4" max="7" width="12.54296875" style="5" customWidth="1"/>
    <col min="8" max="8" width="5" style="1" customWidth="1"/>
    <col min="9" max="16384" width="8.7265625" style="1"/>
  </cols>
  <sheetData>
    <row r="1" spans="1:8" ht="14.5" customHeight="1" x14ac:dyDescent="0.35">
      <c r="A1" s="17" t="s">
        <v>78</v>
      </c>
      <c r="B1" s="50"/>
      <c r="C1" s="50"/>
      <c r="D1" s="16"/>
      <c r="E1" s="16"/>
      <c r="F1" s="16"/>
      <c r="G1" s="16"/>
      <c r="H1" s="2"/>
    </row>
    <row r="2" spans="1:8" ht="15.5" x14ac:dyDescent="0.35">
      <c r="A2" s="17" t="str">
        <f>"en date du " &amp; TEXT(ajd, "j mmmm aaaa")</f>
        <v>en date du 1 janvier 1900</v>
      </c>
      <c r="B2" s="50"/>
      <c r="C2" s="50"/>
      <c r="D2" s="16"/>
      <c r="E2" s="16"/>
      <c r="F2" s="16"/>
      <c r="G2" s="16"/>
      <c r="H2" s="2"/>
    </row>
    <row r="3" spans="1:8" ht="16" thickBot="1" x14ac:dyDescent="0.4">
      <c r="A3" s="17"/>
      <c r="B3" s="50"/>
      <c r="C3" s="50"/>
      <c r="D3" s="16"/>
      <c r="E3" s="16"/>
      <c r="F3" s="16"/>
      <c r="G3" s="16"/>
      <c r="H3" s="2"/>
    </row>
    <row r="4" spans="1:8" ht="16" thickBot="1" x14ac:dyDescent="0.4">
      <c r="A4" s="17"/>
      <c r="B4" s="50"/>
      <c r="C4" s="81"/>
      <c r="D4" s="106" t="str">
        <f>TEXT(ajd, "mmm aaaa")</f>
        <v>janv 1900</v>
      </c>
      <c r="E4" s="106" t="e">
        <f>TEXT(EDATE(D$4, -1), "mmm aaaa")</f>
        <v>#NUM!</v>
      </c>
      <c r="F4" s="107" t="e">
        <f>TEXT(EDATE(E$4, -1), "mmm aaaa")</f>
        <v>#NUM!</v>
      </c>
      <c r="G4" s="106" t="str">
        <f>TEXT(DATE(YEAR(ajd)-(MONTH(ajd)&lt;5),5,1),"mmm aaaa")</f>
        <v>mai 3799</v>
      </c>
      <c r="H4" s="2"/>
    </row>
    <row r="5" spans="1:8" ht="15" thickBot="1" x14ac:dyDescent="0.4">
      <c r="A5"/>
      <c r="B5" s="51"/>
      <c r="C5" s="51"/>
      <c r="D5" s="106"/>
      <c r="E5" s="106"/>
      <c r="F5" s="107"/>
      <c r="G5" s="106"/>
    </row>
    <row r="6" spans="1:8" ht="15.5" x14ac:dyDescent="0.35">
      <c r="A6" s="4" t="s">
        <v>79</v>
      </c>
      <c r="B6" s="51"/>
      <c r="C6" s="51"/>
      <c r="D6" s="6"/>
      <c r="E6" s="6"/>
      <c r="F6" s="26"/>
      <c r="G6" s="6"/>
    </row>
    <row r="7" spans="1:8" ht="5.9" customHeight="1" x14ac:dyDescent="0.35">
      <c r="A7"/>
      <c r="B7" s="51"/>
      <c r="C7" s="51"/>
      <c r="D7" s="7"/>
      <c r="E7" s="7"/>
      <c r="F7" s="27"/>
      <c r="G7" s="7"/>
    </row>
    <row r="8" spans="1:8" s="3" customFormat="1" ht="14.5" x14ac:dyDescent="0.35">
      <c r="A8"/>
      <c r="B8" s="52" t="s">
        <v>80</v>
      </c>
      <c r="C8" s="56"/>
      <c r="D8" s="11">
        <f>SUM(D9:D12)</f>
        <v>0</v>
      </c>
      <c r="E8" s="11">
        <f>SUM(E9:E12)</f>
        <v>0</v>
      </c>
      <c r="F8" s="28">
        <f>SUM(F9:F12)</f>
        <v>0</v>
      </c>
      <c r="G8" s="11">
        <f>SUM(G9:G12)</f>
        <v>0</v>
      </c>
    </row>
    <row r="9" spans="1:8" ht="14.5" x14ac:dyDescent="0.35">
      <c r="A9"/>
      <c r="B9" s="51"/>
      <c r="C9" s="53" t="s">
        <v>24</v>
      </c>
      <c r="D9" s="27">
        <f>SUMIFS(JG[[Débit]:[Débit]], JG[[Date]:[Date]], "&gt;=" &amp; $G$4, JG[[Date]:[Date]], "&lt;=" &amp; EOMONTH(D$4, 0), JG[[Compte]:[Compte]], $C9) - SUMIFS(JG[[Crédit]:[Crédit]], JG[[Date]:[Date]], "&gt;=" &amp; $G$4, JG[[Date]:[Date]], "&lt;=" &amp; EOMONTH(D$4, 0), JG[[Compte]:[Compte]], $C9)</f>
        <v>0</v>
      </c>
      <c r="E9" s="27">
        <f>SUMIFS(JG[[Débit]:[Débit]], JG[[Date]:[Date]], "&gt;=" &amp; $G$4, JG[[Date]:[Date]], "&lt;=" &amp; EOMONTH(E$4, 0), JG[[Compte]:[Compte]], $C9) - SUMIFS(JG[[Crédit]:[Crédit]], JG[[Date]:[Date]], "&gt;=" &amp; $G$4, JG[[Date]:[Date]], "&lt;=" &amp; EOMONTH(E$4, 0), JG[[Compte]:[Compte]], $C9)</f>
        <v>0</v>
      </c>
      <c r="F9" s="27">
        <f>SUMIFS(JG[[Débit]:[Débit]], JG[[Date]:[Date]], "&gt;=" &amp; $G$4, JG[[Date]:[Date]], "&lt;=" &amp; EOMONTH(F$4, 0), JG[[Compte]:[Compte]], $C9) - SUMIFS(JG[[Crédit]:[Crédit]], JG[[Date]:[Date]], "&gt;=" &amp; $G$4, JG[[Date]:[Date]], "&lt;=" &amp; EOMONTH(F$4, 0), JG[[Compte]:[Compte]], $C9)</f>
        <v>0</v>
      </c>
      <c r="G9" s="7" cm="1">
        <f t="array" ref="G9">_xlfn.IFNA(INDEX(JG[Débit], MATCH(1, (TEXT(JG[Date], "mmm aaaa") = TEXT($G$4, "mmm aaaa")) * (JG[Objet] = "Solde") * (JG[Compte] = $C9), 0)), 0)</f>
        <v>0</v>
      </c>
    </row>
    <row r="10" spans="1:8" ht="14.5" x14ac:dyDescent="0.35">
      <c r="A10"/>
      <c r="B10" s="51"/>
      <c r="C10" s="53" t="s">
        <v>25</v>
      </c>
      <c r="D10" s="27">
        <f>SUMIFS(JG[[Débit]:[Débit]], JG[[Date]:[Date]], "&gt;=" &amp; $G$4, JG[[Date]:[Date]], "&lt;=" &amp; EOMONTH(D$4, 0), JG[[Compte]:[Compte]], $C10) - SUMIFS(JG[[Crédit]:[Crédit]], JG[[Date]:[Date]], "&gt;=" &amp; $G$4, JG[[Date]:[Date]], "&lt;=" &amp; EOMONTH(D$4, 0), JG[[Compte]:[Compte]], $C10)</f>
        <v>0</v>
      </c>
      <c r="E10" s="27">
        <f>SUMIFS(JG[[Débit]:[Débit]], JG[[Date]:[Date]], "&gt;=" &amp; $G$4, JG[[Date]:[Date]], "&lt;=" &amp; EOMONTH(E$4, 0), JG[[Compte]:[Compte]], $C10) - SUMIFS(JG[[Crédit]:[Crédit]], JG[[Date]:[Date]], "&gt;=" &amp; $G$4, JG[[Date]:[Date]], "&lt;=" &amp; EOMONTH(E$4, 0), JG[[Compte]:[Compte]], $C10)</f>
        <v>0</v>
      </c>
      <c r="F10" s="27">
        <f>SUMIFS(JG[Débit], JG[Date], "&gt;=" &amp; $G$4, JG[Date], "&lt;=" &amp; EOMONTH(F$4, 0), JG[Compte], $C10) - SUMIFS(JG[Crédit], JG[Date], "&gt;=" &amp; $G$4, JG[Date], "&lt;=" &amp; EOMONTH(F$4, 0), JG[Compte], $C10)</f>
        <v>0</v>
      </c>
      <c r="G10" s="7" cm="1">
        <f t="array" ref="G10">_xlfn.IFNA(INDEX(JG[Débit], MATCH(1, (TEXT(JG[Date], "mmm aaaa") = TEXT($G$4, "mmm aaaa")) * (JG[Objet] = "Solde") * (JG[Compte] = $C10), 0)), 0)</f>
        <v>0</v>
      </c>
    </row>
    <row r="11" spans="1:8" ht="14.5" x14ac:dyDescent="0.35">
      <c r="A11"/>
      <c r="B11" s="51"/>
      <c r="C11" s="53" t="s">
        <v>26</v>
      </c>
      <c r="D11" s="27">
        <f>SUMIFS(JG[[Débit]:[Débit]], JG[[Date]:[Date]], "&gt;=" &amp; $G$4, JG[[Date]:[Date]], "&lt;=" &amp; EOMONTH(D$4, 0), JG[[Compte]:[Compte]], $C11) - SUMIFS(JG[[Crédit]:[Crédit]], JG[[Date]:[Date]], "&gt;=" &amp; $G$4, JG[[Date]:[Date]], "&lt;=" &amp; EOMONTH(D$4, 0), JG[[Compte]:[Compte]], $C11)</f>
        <v>0</v>
      </c>
      <c r="E11" s="27">
        <f>SUMIFS(JG[[Débit]:[Débit]], JG[[Date]:[Date]], "&gt;=" &amp; $G$4, JG[[Date]:[Date]], "&lt;=" &amp; EOMONTH(E$4, 0), JG[[Compte]:[Compte]], $C11) - SUMIFS(JG[[Crédit]:[Crédit]], JG[[Date]:[Date]], "&gt;=" &amp; $G$4, JG[[Date]:[Date]], "&lt;=" &amp; EOMONTH(E$4, 0), JG[[Compte]:[Compte]], $C11)</f>
        <v>0</v>
      </c>
      <c r="F11" s="27">
        <f>SUMIFS(JG[Débit], JG[Date], "&gt;=" &amp; $G$4, JG[Date], "&lt;=" &amp; EOMONTH(F$4, 0), JG[Compte], $C11) - SUMIFS(JG[Crédit], JG[Date], "&gt;=" &amp; $G$4, JG[Date], "&lt;=" &amp; EOMONTH(F$4, 0), JG[Compte], $C11)</f>
        <v>0</v>
      </c>
      <c r="G11" s="7" cm="1">
        <f t="array" ref="G11">_xlfn.IFNA(INDEX(JG[Débit], MATCH(1, (TEXT(JG[Date], "mmm aaaa") = TEXT($G$4, "mmm aaaa")) * (JG[Objet] = "Solde") * (JG[Compte] = $C11), 0)), 0)</f>
        <v>0</v>
      </c>
    </row>
    <row r="12" spans="1:8" ht="14.5" x14ac:dyDescent="0.35">
      <c r="A12"/>
      <c r="B12" s="51"/>
      <c r="C12" s="53" t="s">
        <v>23</v>
      </c>
      <c r="D12" s="27">
        <f>SUMIFS(JG[[Débit]:[Débit]], JG[[Date]:[Date]], "&gt;=" &amp; $G$4, JG[[Date]:[Date]], "&lt;=" &amp; EOMONTH(D$4, 0), JG[[Compte]:[Compte]], $C12) - SUMIFS(JG[[Crédit]:[Crédit]], JG[[Date]:[Date]], "&gt;=" &amp; $G$4, JG[[Date]:[Date]], "&lt;=" &amp; EOMONTH(D$4, 0), JG[[Compte]:[Compte]], $C12)</f>
        <v>0</v>
      </c>
      <c r="E12" s="27">
        <f>SUMIFS(JG[[Débit]:[Débit]], JG[[Date]:[Date]], "&gt;=" &amp; $G$4, JG[[Date]:[Date]], "&lt;=" &amp; EOMONTH(E$4, 0), JG[[Compte]:[Compte]], $C12) - SUMIFS(JG[[Crédit]:[Crédit]], JG[[Date]:[Date]], "&gt;=" &amp; $G$4, JG[[Date]:[Date]], "&lt;=" &amp; EOMONTH(E$4, 0), JG[[Compte]:[Compte]], $C12)</f>
        <v>0</v>
      </c>
      <c r="F12" s="27">
        <f>SUMIFS(JG[Débit], JG[Date], "&gt;=" &amp; $G$4, JG[Date], "&lt;=" &amp; EOMONTH(F$4, 0), JG[Compte], $C12) - SUMIFS(JG[Crédit], JG[Date], "&gt;=" &amp; $G$4, JG[Date], "&lt;=" &amp; EOMONTH(F$4, 0), JG[Compte], $C12)</f>
        <v>0</v>
      </c>
      <c r="G12" s="7" cm="1">
        <f t="array" ref="G12">_xlfn.IFNA(INDEX(JG[Débit], MATCH(1, (TEXT(JG[Date], "mmm aaaa") = TEXT($G$4, "mmm aaaa")) * (JG[Objet] = "Solde") * (JG[Compte] = $C12), 0)), 0)</f>
        <v>0</v>
      </c>
    </row>
    <row r="13" spans="1:8" s="3" customFormat="1" ht="14.5" x14ac:dyDescent="0.35">
      <c r="A13"/>
      <c r="B13" s="52" t="s">
        <v>81</v>
      </c>
      <c r="C13" s="56"/>
      <c r="D13" s="11">
        <f>SUM(D14:D17)</f>
        <v>0</v>
      </c>
      <c r="E13" s="11">
        <f t="shared" ref="E13:G13" si="0">SUM(E14:E17)</f>
        <v>0</v>
      </c>
      <c r="F13" s="28">
        <f t="shared" si="0"/>
        <v>0</v>
      </c>
      <c r="G13" s="11">
        <f t="shared" si="0"/>
        <v>0</v>
      </c>
    </row>
    <row r="14" spans="1:8" ht="14.5" x14ac:dyDescent="0.35">
      <c r="A14"/>
      <c r="B14" s="51"/>
      <c r="C14" s="53" t="s">
        <v>75</v>
      </c>
      <c r="D14" s="27">
        <f>SUMIFS(JG[[Débit]:[Débit]], JG[[Date]:[Date]], "&gt;=" &amp; $G$4, JG[[Date]:[Date]], "&lt;=" &amp; EOMONTH(D$4, 0), JG[[Compte]:[Compte]], $C14) - SUMIFS(JG[[Crédit]:[Crédit]], JG[[Date]:[Date]], "&gt;=" &amp; $G$4, JG[[Date]:[Date]], "&lt;=" &amp; EOMONTH(D$4, 0), JG[[Compte]:[Compte]], $C14)</f>
        <v>0</v>
      </c>
      <c r="E14" s="27">
        <f>SUMIFS(JG[[Débit]:[Débit]], JG[[Date]:[Date]], "&gt;=" &amp; $G$4, JG[[Date]:[Date]], "&lt;=" &amp; EOMONTH(E$4, 0), JG[[Compte]:[Compte]], $C14) - SUMIFS(JG[[Crédit]:[Crédit]], JG[[Date]:[Date]], "&gt;=" &amp; $G$4, JG[[Date]:[Date]], "&lt;=" &amp; EOMONTH(E$4, 0), JG[[Compte]:[Compte]], $C14)</f>
        <v>0</v>
      </c>
      <c r="F14" s="27">
        <f>SUMIFS(JG[[Débit]:[Débit]], JG[[Date]:[Date]], "&gt;=" &amp; $G$4, JG[[Date]:[Date]], "&lt;=" &amp; EOMONTH(F$4, 0), JG[[Compte]:[Compte]], $C14) - SUMIFS(JG[[Crédit]:[Crédit]], JG[[Date]:[Date]], "&gt;=" &amp; $G$4, JG[[Date]:[Date]], "&lt;=" &amp; EOMONTH(F$4, 0), JG[[Compte]:[Compte]], $C14)</f>
        <v>0</v>
      </c>
      <c r="G14" s="7" cm="1">
        <f t="array" ref="G14">_xlfn.IFNA(INDEX(JG[Débit], MATCH(1, (TEXT(JG[Date], "mmm aaaa") = TEXT($G$4, "mmm aaaa")) * (JG[Objet] = "Solde") * (JG[Compte] = $C14), 0)), 0)</f>
        <v>0</v>
      </c>
    </row>
    <row r="15" spans="1:8" ht="14.5" x14ac:dyDescent="0.35">
      <c r="A15"/>
      <c r="B15" s="51"/>
      <c r="C15" s="53" t="s">
        <v>68</v>
      </c>
      <c r="D15" s="27">
        <f>SUMIFS(JG[[Débit]:[Débit]], JG[[Date]:[Date]], "&gt;=" &amp; $G$4, JG[[Date]:[Date]], "&lt;=" &amp; EOMONTH(D$4, 0), JG[[Compte]:[Compte]], $C15) - SUMIFS(JG[[Crédit]:[Crédit]], JG[[Date]:[Date]], "&gt;=" &amp; $G$4, JG[[Date]:[Date]], "&lt;=" &amp; EOMONTH(D$4, 0), JG[[Compte]:[Compte]], $C15)</f>
        <v>0</v>
      </c>
      <c r="E15" s="27">
        <f>SUMIFS(JG[[Débit]:[Débit]], JG[[Date]:[Date]], "&gt;=" &amp; $G$4, JG[[Date]:[Date]], "&lt;=" &amp; EOMONTH(E$4, 0), JG[[Compte]:[Compte]], $C15) - SUMIFS(JG[[Crédit]:[Crédit]], JG[[Date]:[Date]], "&gt;=" &amp; $G$4, JG[[Date]:[Date]], "&lt;=" &amp; EOMONTH(E$4, 0), JG[[Compte]:[Compte]], $C15)</f>
        <v>0</v>
      </c>
      <c r="F15" s="27">
        <f>SUMIFS(JG[[Débit]:[Débit]], JG[[Date]:[Date]], "&gt;=" &amp; $G$4, JG[[Date]:[Date]], "&lt;=" &amp; EOMONTH(F$4, 0), JG[[Compte]:[Compte]], $C15) - SUMIFS(JG[[Crédit]:[Crédit]], JG[[Date]:[Date]], "&gt;=" &amp; $G$4, JG[[Date]:[Date]], "&lt;=" &amp; EOMONTH(F$4, 0), JG[[Compte]:[Compte]], $C15)</f>
        <v>0</v>
      </c>
      <c r="G15" s="7" cm="1">
        <f t="array" ref="G15">_xlfn.IFNA(INDEX(JG[Débit], MATCH(1, (TEXT(JG[Date], "mmm aaaa") = TEXT($G$4, "mmm aaaa")) * (JG[Objet] = "Solde") * (JG[Compte] = $C15), 0)), 0)</f>
        <v>0</v>
      </c>
    </row>
    <row r="16" spans="1:8" ht="14.5" x14ac:dyDescent="0.35">
      <c r="A16"/>
      <c r="B16" s="51"/>
      <c r="C16" s="53" t="s">
        <v>56</v>
      </c>
      <c r="D16" s="27">
        <f>SUMIFS(JG[[Débit]:[Débit]], JG[[Date]:[Date]], "&gt;=" &amp; $G$4, JG[[Date]:[Date]], "&lt;=" &amp; EOMONTH(D$4, 0), JG[[Compte]:[Compte]], $C16) - SUMIFS(JG[[Crédit]:[Crédit]], JG[[Date]:[Date]], "&gt;=" &amp; $G$4, JG[[Date]:[Date]], "&lt;=" &amp; EOMONTH(D$4, 0), JG[[Compte]:[Compte]], $C16)</f>
        <v>0</v>
      </c>
      <c r="E16" s="27">
        <f>SUMIFS(JG[[Débit]:[Débit]], JG[[Date]:[Date]], "&gt;=" &amp; $G$4, JG[[Date]:[Date]], "&lt;=" &amp; EOMONTH(E$4, 0), JG[[Compte]:[Compte]], $C16) - SUMIFS(JG[[Crédit]:[Crédit]], JG[[Date]:[Date]], "&gt;=" &amp; $G$4, JG[[Date]:[Date]], "&lt;=" &amp; EOMONTH(E$4, 0), JG[[Compte]:[Compte]], $C16)</f>
        <v>0</v>
      </c>
      <c r="F16" s="27">
        <f>SUMIFS(JG[[Débit]:[Débit]], JG[[Date]:[Date]], "&gt;=" &amp; $G$4, JG[[Date]:[Date]], "&lt;=" &amp; EOMONTH(F$4, 0), JG[[Compte]:[Compte]], $C16) - SUMIFS(JG[[Crédit]:[Crédit]], JG[[Date]:[Date]], "&gt;=" &amp; $G$4, JG[[Date]:[Date]], "&lt;=" &amp; EOMONTH(F$4, 0), JG[[Compte]:[Compte]], $C16)</f>
        <v>0</v>
      </c>
      <c r="G16" s="7" cm="1">
        <f t="array" ref="G16">_xlfn.IFNA(INDEX(JG[Débit], MATCH(1, (TEXT(JG[Date], "mmm aaaa") = TEXT($G$4, "mmm aaaa")) * (JG[Objet] = "Solde") * (JG[Compte] = $C16), 0)), 0)</f>
        <v>0</v>
      </c>
    </row>
    <row r="17" spans="1:7" ht="5.9" customHeight="1" thickBot="1" x14ac:dyDescent="0.4">
      <c r="A17"/>
      <c r="B17" s="51"/>
      <c r="C17" s="51"/>
      <c r="D17" s="7"/>
      <c r="E17" s="7"/>
      <c r="F17" s="27"/>
      <c r="G17" s="7"/>
    </row>
    <row r="18" spans="1:7" s="13" customFormat="1" ht="17.149999999999999" customHeight="1" thickTop="1" thickBot="1" x14ac:dyDescent="0.4">
      <c r="A18" s="13" t="s">
        <v>82</v>
      </c>
      <c r="B18" s="51"/>
      <c r="C18" s="51"/>
      <c r="D18" s="15">
        <f>SUM(D8,D13)</f>
        <v>0</v>
      </c>
      <c r="E18" s="15">
        <f>SUM(E8,E13)</f>
        <v>0</v>
      </c>
      <c r="F18" s="29">
        <f>SUM(F8,F13)</f>
        <v>0</v>
      </c>
      <c r="G18" s="15">
        <f>SUM(G8,G13)</f>
        <v>0</v>
      </c>
    </row>
    <row r="19" spans="1:7" ht="15" thickBot="1" x14ac:dyDescent="0.4">
      <c r="A19" s="1"/>
      <c r="B19" s="51"/>
      <c r="C19" s="51"/>
      <c r="D19"/>
      <c r="E19"/>
      <c r="F19"/>
      <c r="G19"/>
    </row>
    <row r="20" spans="1:7" ht="14.5" x14ac:dyDescent="0.35">
      <c r="A20"/>
      <c r="B20" s="51"/>
      <c r="C20" s="51"/>
      <c r="D20" s="96" t="str">
        <f>D4</f>
        <v>janv 1900</v>
      </c>
      <c r="E20" s="96" t="e">
        <f>E4</f>
        <v>#NUM!</v>
      </c>
      <c r="F20" s="104" t="e">
        <f>F4</f>
        <v>#NUM!</v>
      </c>
      <c r="G20" s="96" t="str">
        <f>G4</f>
        <v>mai 3799</v>
      </c>
    </row>
    <row r="21" spans="1:7" ht="15" thickBot="1" x14ac:dyDescent="0.4">
      <c r="A21"/>
      <c r="B21" s="51"/>
      <c r="C21" s="51"/>
      <c r="D21" s="97"/>
      <c r="E21" s="97"/>
      <c r="F21" s="105"/>
      <c r="G21" s="97"/>
    </row>
    <row r="22" spans="1:7" ht="15.5" x14ac:dyDescent="0.35">
      <c r="A22" s="4" t="s">
        <v>83</v>
      </c>
      <c r="B22" s="51"/>
      <c r="C22" s="51"/>
      <c r="D22" s="6"/>
      <c r="E22" s="6"/>
      <c r="F22" s="26"/>
      <c r="G22" s="6"/>
    </row>
    <row r="23" spans="1:7" ht="5.9" customHeight="1" x14ac:dyDescent="0.35">
      <c r="A23"/>
      <c r="B23" s="51"/>
      <c r="C23" s="51"/>
      <c r="D23" s="7"/>
      <c r="E23" s="7"/>
      <c r="F23" s="27"/>
      <c r="G23" s="7"/>
    </row>
    <row r="24" spans="1:7" ht="14.5" x14ac:dyDescent="0.35">
      <c r="A24"/>
      <c r="B24" s="52" t="s">
        <v>84</v>
      </c>
      <c r="C24" s="56"/>
      <c r="D24" s="11">
        <f>SUM(D25)</f>
        <v>0</v>
      </c>
      <c r="E24" s="11">
        <f t="shared" ref="E24:G24" si="1">SUM(E25)</f>
        <v>0</v>
      </c>
      <c r="F24" s="28">
        <f t="shared" si="1"/>
        <v>0</v>
      </c>
      <c r="G24" s="11">
        <f t="shared" si="1"/>
        <v>0</v>
      </c>
    </row>
    <row r="25" spans="1:7" ht="14.5" x14ac:dyDescent="0.35">
      <c r="A25"/>
      <c r="B25" s="51"/>
      <c r="C25" s="53" t="s">
        <v>65</v>
      </c>
      <c r="D25" s="27">
        <f>SUMIFS(JG[[Crédit]:[Crédit]], JG[[Date]:[Date]], "&gt;=" &amp; $G$4, JG[[Date]:[Date]], "&lt;=" &amp; EOMONTH(D$4, 0), JG[[Compte]:[Compte]], $C25) - SUMIFS(JG[[Débit]:[Débit]], JG[[Date]:[Date]], "&gt;=" &amp; $G$4, JG[[Date]:[Date]], "&lt;=" &amp; EOMONTH(D$4, 0), JG[[Compte]:[Compte]], $C25)</f>
        <v>0</v>
      </c>
      <c r="E25" s="27">
        <f>SUMIFS(JG[[Crédit]:[Crédit]], JG[[Date]:[Date]], "&gt;=" &amp; $G$4, JG[[Date]:[Date]], "&lt;=" &amp; EOMONTH(E$4, 0), JG[[Compte]:[Compte]], $C25) - SUMIFS(JG[[Débit]:[Débit]], JG[[Date]:[Date]], "&gt;=" &amp; $G$4, JG[[Date]:[Date]], "&lt;=" &amp; EOMONTH(E$4, 0), JG[[Compte]:[Compte]], $C25)</f>
        <v>0</v>
      </c>
      <c r="F25" s="27">
        <f>SUMIFS(JG[[Crédit]:[Crédit]], JG[[Date]:[Date]], "&gt;=" &amp; $G$4, JG[[Date]:[Date]], "&lt;=" &amp; EOMONTH(F$4, 0), JG[[Compte]:[Compte]], $C25) - SUMIFS(JG[[Débit]:[Débit]], JG[[Date]:[Date]], "&gt;=" &amp; $G$4, JG[[Date]:[Date]], "&lt;=" &amp; EOMONTH(F$4, 0), JG[[Compte]:[Compte]], $C25)</f>
        <v>0</v>
      </c>
      <c r="G25" s="7" cm="1">
        <f t="array" ref="G25">_xlfn.IFNA(INDEX(JG[Débit], MATCH(1, (TEXT(JG[Date], "mmm aaaa") = TEXT($G$4, "mmm aaaa")) * (JG[Objet] = "Solde") * (JG[Compte] = $C25), 0)), 0)</f>
        <v>0</v>
      </c>
    </row>
    <row r="26" spans="1:7" ht="14.5" x14ac:dyDescent="0.35">
      <c r="A26"/>
      <c r="B26" s="52" t="s">
        <v>85</v>
      </c>
      <c r="C26" s="56"/>
      <c r="D26" s="11">
        <f>SUM(D27:D34)</f>
        <v>0</v>
      </c>
      <c r="E26" s="11">
        <f t="shared" ref="E26:G26" si="2">SUM(E27:E34)</f>
        <v>0</v>
      </c>
      <c r="F26" s="28">
        <f t="shared" si="2"/>
        <v>0</v>
      </c>
      <c r="G26" s="11">
        <f t="shared" si="2"/>
        <v>0</v>
      </c>
    </row>
    <row r="27" spans="1:7" ht="14.5" x14ac:dyDescent="0.35">
      <c r="A27"/>
      <c r="B27" s="51"/>
      <c r="C27" s="53" t="s">
        <v>33</v>
      </c>
      <c r="D27" s="27">
        <f>SUMIFS(JG[[Crédit]:[Crédit]], JG[[Date]:[Date]], "&gt;=" &amp; $G$4, JG[[Date]:[Date]], "&lt;=" &amp; EOMONTH(D$4, 0), JG[[Compte]:[Compte]], $C27) - SUMIFS(JG[[Débit]:[Débit]], JG[[Date]:[Date]], "&gt;=" &amp; $G$4, JG[[Date]:[Date]], "&lt;=" &amp; EOMONTH(D$4, 0), JG[[Compte]:[Compte]], $C27)</f>
        <v>0</v>
      </c>
      <c r="E27" s="27">
        <f>SUMIFS(JG[[Crédit]:[Crédit]], JG[[Date]:[Date]], "&gt;=" &amp; $G$4, JG[[Date]:[Date]], "&lt;=" &amp; EOMONTH(E$4, 0), JG[[Compte]:[Compte]], $C27) - SUMIFS(JG[[Débit]:[Débit]], JG[[Date]:[Date]], "&gt;=" &amp; $G$4, JG[[Date]:[Date]], "&lt;=" &amp; EOMONTH(E$4, 0), JG[[Compte]:[Compte]], $C27)</f>
        <v>0</v>
      </c>
      <c r="F27" s="27">
        <f>SUMIFS(JG[[Crédit]:[Crédit]], JG[[Date]:[Date]], "&gt;=" &amp; $G$4, JG[[Date]:[Date]], "&lt;=" &amp; EOMONTH(F$4, 0), JG[[Compte]:[Compte]], $C27) - SUMIFS(JG[[Débit]:[Débit]], JG[[Date]:[Date]], "&gt;=" &amp; $G$4, JG[[Date]:[Date]], "&lt;=" &amp; EOMONTH(F$4, 0), JG[[Compte]:[Compte]], $C27)</f>
        <v>0</v>
      </c>
      <c r="G27" s="7" cm="1">
        <f t="array" ref="G27">_xlfn.IFNA(INDEX(JG[Débit], MATCH(1, (TEXT(JG[Date], "mmm aaaa") = TEXT($G$4, "mmm aaaa")) * (JG[Objet] = "Solde") * (JG[Compte] = $C27), 0)), 0)</f>
        <v>0</v>
      </c>
    </row>
    <row r="28" spans="1:7" ht="14.5" x14ac:dyDescent="0.35">
      <c r="A28"/>
      <c r="B28" s="51"/>
      <c r="C28" s="53" t="s">
        <v>34</v>
      </c>
      <c r="D28" s="27">
        <f>SUMIFS(JG[[Crédit]:[Crédit]], JG[[Date]:[Date]], "&gt;=" &amp; $G$4, JG[[Date]:[Date]], "&lt;=" &amp; EOMONTH(D$4, 0), JG[[Compte]:[Compte]], $C28) - SUMIFS(JG[[Débit]:[Débit]], JG[[Date]:[Date]], "&gt;=" &amp; $G$4, JG[[Date]:[Date]], "&lt;=" &amp; EOMONTH(D$4, 0), JG[[Compte]:[Compte]], $C28)</f>
        <v>0</v>
      </c>
      <c r="E28" s="27">
        <f>SUMIFS(JG[[Crédit]:[Crédit]], JG[[Date]:[Date]], "&gt;=" &amp; $G$4, JG[[Date]:[Date]], "&lt;=" &amp; EOMONTH(E$4, 0), JG[[Compte]:[Compte]], $C28) - SUMIFS(JG[[Débit]:[Débit]], JG[[Date]:[Date]], "&gt;=" &amp; $G$4, JG[[Date]:[Date]], "&lt;=" &amp; EOMONTH(E$4, 0), JG[[Compte]:[Compte]], $C28)</f>
        <v>0</v>
      </c>
      <c r="F28" s="27">
        <f>SUMIFS(JG[[Crédit]:[Crédit]], JG[[Date]:[Date]], "&gt;=" &amp; $G$4, JG[[Date]:[Date]], "&lt;=" &amp; EOMONTH(F$4, 0), JG[[Compte]:[Compte]], $C28) - SUMIFS(JG[[Débit]:[Débit]], JG[[Date]:[Date]], "&gt;=" &amp; $G$4, JG[[Date]:[Date]], "&lt;=" &amp; EOMONTH(F$4, 0), JG[[Compte]:[Compte]], $C28)</f>
        <v>0</v>
      </c>
      <c r="G28" s="7" cm="1">
        <f t="array" ref="G28">_xlfn.IFNA(INDEX(JG[Débit], MATCH(1, (TEXT(JG[Date], "mmm aaaa") = TEXT($G$4, "mmm aaaa")) * (JG[Objet] = "Solde") * (JG[Compte] = $C28), 0)), 0)</f>
        <v>0</v>
      </c>
    </row>
    <row r="29" spans="1:7" ht="14.5" x14ac:dyDescent="0.35">
      <c r="A29"/>
      <c r="B29" s="51"/>
      <c r="C29" s="53" t="s">
        <v>35</v>
      </c>
      <c r="D29" s="27">
        <f>SUMIFS(JG[[Crédit]:[Crédit]], JG[[Date]:[Date]], "&gt;=" &amp; $G$4, JG[[Date]:[Date]], "&lt;=" &amp; EOMONTH(D$4, 0), JG[[Compte]:[Compte]], $C29) - SUMIFS(JG[[Débit]:[Débit]], JG[[Date]:[Date]], "&gt;=" &amp; $G$4, JG[[Date]:[Date]], "&lt;=" &amp; EOMONTH(D$4, 0), JG[[Compte]:[Compte]], $C29)</f>
        <v>0</v>
      </c>
      <c r="E29" s="27">
        <f>SUMIFS(JG[[Crédit]:[Crédit]], JG[[Date]:[Date]], "&gt;=" &amp; $G$4, JG[[Date]:[Date]], "&lt;=" &amp; EOMONTH(E$4, 0), JG[[Compte]:[Compte]], $C29) - SUMIFS(JG[[Débit]:[Débit]], JG[[Date]:[Date]], "&gt;=" &amp; $G$4, JG[[Date]:[Date]], "&lt;=" &amp; EOMONTH(E$4, 0), JG[[Compte]:[Compte]], $C29)</f>
        <v>0</v>
      </c>
      <c r="F29" s="27">
        <f>SUMIFS(JG[[Crédit]:[Crédit]], JG[[Date]:[Date]], "&gt;=" &amp; $G$4, JG[[Date]:[Date]], "&lt;=" &amp; EOMONTH(F$4, 0), JG[[Compte]:[Compte]], $C29) - SUMIFS(JG[[Débit]:[Débit]], JG[[Date]:[Date]], "&gt;=" &amp; $G$4, JG[[Date]:[Date]], "&lt;=" &amp; EOMONTH(F$4, 0), JG[[Compte]:[Compte]], $C29)</f>
        <v>0</v>
      </c>
      <c r="G29" s="7" cm="1">
        <f t="array" ref="G29">_xlfn.IFNA(INDEX(JG[Débit], MATCH(1, (TEXT(JG[Date], "mmm aaaa") = TEXT($G$4, "mmm aaaa")) * (JG[Objet] = "Solde") * (JG[Compte] = $C29), 0)), 0)</f>
        <v>0</v>
      </c>
    </row>
    <row r="30" spans="1:7" ht="14.5" x14ac:dyDescent="0.35">
      <c r="A30"/>
      <c r="B30" s="51"/>
      <c r="C30" s="53" t="s">
        <v>36</v>
      </c>
      <c r="D30" s="27">
        <f>SUMIFS(JG[[Crédit]:[Crédit]], JG[[Date]:[Date]], "&gt;=" &amp; $G$4, JG[[Date]:[Date]], "&lt;=" &amp; EOMONTH(D$4, 0), JG[[Compte]:[Compte]], $C30) - SUMIFS(JG[[Débit]:[Débit]], JG[[Date]:[Date]], "&gt;=" &amp; $G$4, JG[[Date]:[Date]], "&lt;=" &amp; EOMONTH(D$4, 0), JG[[Compte]:[Compte]], $C30)</f>
        <v>0</v>
      </c>
      <c r="E30" s="27">
        <f>SUMIFS(JG[[Crédit]:[Crédit]], JG[[Date]:[Date]], "&gt;=" &amp; $G$4, JG[[Date]:[Date]], "&lt;=" &amp; EOMONTH(E$4, 0), JG[[Compte]:[Compte]], $C30) - SUMIFS(JG[[Débit]:[Débit]], JG[[Date]:[Date]], "&gt;=" &amp; $G$4, JG[[Date]:[Date]], "&lt;=" &amp; EOMONTH(E$4, 0), JG[[Compte]:[Compte]], $C30)</f>
        <v>0</v>
      </c>
      <c r="F30" s="27">
        <f>SUMIFS(JG[[Crédit]:[Crédit]], JG[[Date]:[Date]], "&gt;=" &amp; $G$4, JG[[Date]:[Date]], "&lt;=" &amp; EOMONTH(F$4, 0), JG[[Compte]:[Compte]], $C30) - SUMIFS(JG[[Débit]:[Débit]], JG[[Date]:[Date]], "&gt;=" &amp; $G$4, JG[[Date]:[Date]], "&lt;=" &amp; EOMONTH(F$4, 0), JG[[Compte]:[Compte]], $C30)</f>
        <v>0</v>
      </c>
      <c r="G30" s="7" cm="1">
        <f t="array" ref="G30">_xlfn.IFNA(INDEX(JG[Débit], MATCH(1, (TEXT(JG[Date], "mmm aaaa") = TEXT($G$4, "mmm aaaa")) * (JG[Objet] = "Solde") * (JG[Compte] = $C30), 0)), 0)</f>
        <v>0</v>
      </c>
    </row>
    <row r="31" spans="1:7" ht="14.5" x14ac:dyDescent="0.35">
      <c r="A31"/>
      <c r="B31" s="51"/>
      <c r="C31" s="53" t="s">
        <v>37</v>
      </c>
      <c r="D31" s="27">
        <f>SUMIFS(JG[[Crédit]:[Crédit]], JG[[Date]:[Date]], "&gt;=" &amp; $G$4, JG[[Date]:[Date]], "&lt;=" &amp; EOMONTH(D$4, 0), JG[[Compte]:[Compte]], $C31) - SUMIFS(JG[[Débit]:[Débit]], JG[[Date]:[Date]], "&gt;=" &amp; $G$4, JG[[Date]:[Date]], "&lt;=" &amp; EOMONTH(D$4, 0), JG[[Compte]:[Compte]], $C31)</f>
        <v>0</v>
      </c>
      <c r="E31" s="27">
        <f>SUMIFS(JG[[Crédit]:[Crédit]], JG[[Date]:[Date]], "&gt;=" &amp; $G$4, JG[[Date]:[Date]], "&lt;=" &amp; EOMONTH(E$4, 0), JG[[Compte]:[Compte]], $C31) - SUMIFS(JG[[Débit]:[Débit]], JG[[Date]:[Date]], "&gt;=" &amp; $G$4, JG[[Date]:[Date]], "&lt;=" &amp; EOMONTH(E$4, 0), JG[[Compte]:[Compte]], $C31)</f>
        <v>0</v>
      </c>
      <c r="F31" s="27">
        <f>SUMIFS(JG[[Crédit]:[Crédit]], JG[[Date]:[Date]], "&gt;=" &amp; $G$4, JG[[Date]:[Date]], "&lt;=" &amp; EOMONTH(F$4, 0), JG[[Compte]:[Compte]], $C31) - SUMIFS(JG[[Débit]:[Débit]], JG[[Date]:[Date]], "&gt;=" &amp; $G$4, JG[[Date]:[Date]], "&lt;=" &amp; EOMONTH(F$4, 0), JG[[Compte]:[Compte]], $C31)</f>
        <v>0</v>
      </c>
      <c r="G31" s="7" cm="1">
        <f t="array" ref="G31">_xlfn.IFNA(INDEX(JG[Débit], MATCH(1, (TEXT(JG[Date], "mmm aaaa") = TEXT($G$4, "mmm aaaa")) * (JG[Objet] = "Solde") * (JG[Compte] = $C31), 0)), 0)</f>
        <v>0</v>
      </c>
    </row>
    <row r="32" spans="1:7" ht="14.5" x14ac:dyDescent="0.35">
      <c r="A32"/>
      <c r="B32" s="51"/>
      <c r="C32" s="53" t="s">
        <v>38</v>
      </c>
      <c r="D32" s="27">
        <f>SUMIFS(JG[[Crédit]:[Crédit]], JG[[Date]:[Date]], "&gt;=" &amp; $G$4, JG[[Date]:[Date]], "&lt;=" &amp; EOMONTH(D$4, 0), JG[[Compte]:[Compte]], $C32) - SUMIFS(JG[[Débit]:[Débit]], JG[[Date]:[Date]], "&gt;=" &amp; $G$4, JG[[Date]:[Date]], "&lt;=" &amp; EOMONTH(D$4, 0), JG[[Compte]:[Compte]], $C32)</f>
        <v>0</v>
      </c>
      <c r="E32" s="27">
        <f>SUMIFS(JG[[Crédit]:[Crédit]], JG[[Date]:[Date]], "&gt;=" &amp; $G$4, JG[[Date]:[Date]], "&lt;=" &amp; EOMONTH(E$4, 0), JG[[Compte]:[Compte]], $C32) - SUMIFS(JG[[Débit]:[Débit]], JG[[Date]:[Date]], "&gt;=" &amp; $G$4, JG[[Date]:[Date]], "&lt;=" &amp; EOMONTH(E$4, 0), JG[[Compte]:[Compte]], $C32)</f>
        <v>0</v>
      </c>
      <c r="F32" s="27">
        <f>SUMIFS(JG[[Crédit]:[Crédit]], JG[[Date]:[Date]], "&gt;=" &amp; $G$4, JG[[Date]:[Date]], "&lt;=" &amp; EOMONTH(F$4, 0), JG[[Compte]:[Compte]], $C32) - SUMIFS(JG[[Débit]:[Débit]], JG[[Date]:[Date]], "&gt;=" &amp; $G$4, JG[[Date]:[Date]], "&lt;=" &amp; EOMONTH(F$4, 0), JG[[Compte]:[Compte]], $C32)</f>
        <v>0</v>
      </c>
      <c r="G32" s="7" cm="1">
        <f t="array" ref="G32">_xlfn.IFNA(INDEX(JG[Débit], MATCH(1, (TEXT(JG[Date], "mmm aaaa") = TEXT($G$4, "mmm aaaa")) * (JG[Objet] = "Solde") * (JG[Compte] = $C32), 0)), 0)</f>
        <v>0</v>
      </c>
    </row>
    <row r="33" spans="1:7" ht="14.5" x14ac:dyDescent="0.35">
      <c r="A33"/>
      <c r="B33" s="51"/>
      <c r="C33" s="53" t="s">
        <v>39</v>
      </c>
      <c r="D33" s="27">
        <f>SUMIFS(JG[[Crédit]:[Crédit]], JG[[Date]:[Date]], "&gt;=" &amp; $G$4, JG[[Date]:[Date]], "&lt;=" &amp; EOMONTH(D$4, 0), JG[[Compte]:[Compte]], $C33) - SUMIFS(JG[[Débit]:[Débit]], JG[[Date]:[Date]], "&gt;=" &amp; $G$4, JG[[Date]:[Date]], "&lt;=" &amp; EOMONTH(D$4, 0), JG[[Compte]:[Compte]], $C33)</f>
        <v>0</v>
      </c>
      <c r="E33" s="27">
        <f>SUMIFS(JG[[Crédit]:[Crédit]], JG[[Date]:[Date]], "&gt;=" &amp; $G$4, JG[[Date]:[Date]], "&lt;=" &amp; EOMONTH(E$4, 0), JG[[Compte]:[Compte]], $C33) - SUMIFS(JG[[Débit]:[Débit]], JG[[Date]:[Date]], "&gt;=" &amp; $G$4, JG[[Date]:[Date]], "&lt;=" &amp; EOMONTH(E$4, 0), JG[[Compte]:[Compte]], $C33)</f>
        <v>0</v>
      </c>
      <c r="F33" s="27">
        <f>SUMIFS(JG[[Crédit]:[Crédit]], JG[[Date]:[Date]], "&gt;=" &amp; $G$4, JG[[Date]:[Date]], "&lt;=" &amp; EOMONTH(F$4, 0), JG[[Compte]:[Compte]], $C33) - SUMIFS(JG[[Débit]:[Débit]], JG[[Date]:[Date]], "&gt;=" &amp; $G$4, JG[[Date]:[Date]], "&lt;=" &amp; EOMONTH(F$4, 0), JG[[Compte]:[Compte]], $C33)</f>
        <v>0</v>
      </c>
      <c r="G33" s="7" cm="1">
        <f t="array" ref="G33">_xlfn.IFNA(INDEX(JG[Débit], MATCH(1, (TEXT(JG[Date], "mmm aaaa") = TEXT($G$4, "mmm aaaa")) * (JG[Objet] = "Solde") * (JG[Compte] = $C33), 0)), 0)</f>
        <v>0</v>
      </c>
    </row>
    <row r="34" spans="1:7" ht="14.5" x14ac:dyDescent="0.35">
      <c r="A34"/>
      <c r="B34" s="51"/>
      <c r="C34" s="53" t="s">
        <v>31</v>
      </c>
      <c r="D34" s="27">
        <f>SUMIFS(JG[[Crédit]:[Crédit]], JG[[Date]:[Date]], "&gt;=" &amp; $G$4, JG[[Date]:[Date]], "&lt;=" &amp; EOMONTH(D$4, 0), JG[[Compte]:[Compte]], $C34) - SUMIFS(JG[[Débit]:[Débit]], JG[[Date]:[Date]], "&gt;=" &amp; $G$4, JG[[Date]:[Date]], "&lt;=" &amp; EOMONTH(D$4, 0), JG[[Compte]:[Compte]], $C34)</f>
        <v>0</v>
      </c>
      <c r="E34" s="27">
        <f>SUMIFS(JG[[Crédit]:[Crédit]], JG[[Date]:[Date]], "&gt;=" &amp; $G$4, JG[[Date]:[Date]], "&lt;=" &amp; EOMONTH(E$4, 0), JG[[Compte]:[Compte]], $C34) - SUMIFS(JG[[Débit]:[Débit]], JG[[Date]:[Date]], "&gt;=" &amp; $G$4, JG[[Date]:[Date]], "&lt;=" &amp; EOMONTH(E$4, 0), JG[[Compte]:[Compte]], $C34)</f>
        <v>0</v>
      </c>
      <c r="F34" s="27">
        <f>SUMIFS(JG[[Crédit]:[Crédit]], JG[[Date]:[Date]], "&gt;=" &amp; $G$4, JG[[Date]:[Date]], "&lt;=" &amp; EOMONTH(F$4, 0), JG[[Compte]:[Compte]], $C34) - SUMIFS(JG[[Débit]:[Débit]], JG[[Date]:[Date]], "&gt;=" &amp; $G$4, JG[[Date]:[Date]], "&lt;=" &amp; EOMONTH(F$4, 0), JG[[Compte]:[Compte]], $C34)</f>
        <v>0</v>
      </c>
      <c r="G34" s="7" cm="1">
        <f t="array" ref="G34">_xlfn.IFNA(INDEX(JG[Débit], MATCH(1, (TEXT(JG[Date], "mmm aaaa") = TEXT($G$4, "mmm aaaa")) * (JG[Objet] = "Solde") * (JG[Compte] = $C34), 0)), 0)</f>
        <v>0</v>
      </c>
    </row>
    <row r="35" spans="1:7" ht="5.9" customHeight="1" thickBot="1" x14ac:dyDescent="0.4">
      <c r="A35"/>
      <c r="B35" s="51"/>
      <c r="C35" s="51"/>
      <c r="D35" s="7"/>
      <c r="E35" s="7"/>
      <c r="F35" s="27"/>
      <c r="G35" s="7"/>
    </row>
    <row r="36" spans="1:7" ht="17.149999999999999" customHeight="1" thickTop="1" thickBot="1" x14ac:dyDescent="0.4">
      <c r="A36" s="13" t="s">
        <v>86</v>
      </c>
      <c r="B36" s="51"/>
      <c r="C36" s="51"/>
      <c r="D36" s="15">
        <f>SUM(D26)</f>
        <v>0</v>
      </c>
      <c r="E36" s="15">
        <f t="shared" ref="E36:G36" si="3">SUM(E26)</f>
        <v>0</v>
      </c>
      <c r="F36" s="15">
        <f t="shared" si="3"/>
        <v>0</v>
      </c>
      <c r="G36" s="15">
        <f t="shared" si="3"/>
        <v>0</v>
      </c>
    </row>
    <row r="37" spans="1:7" ht="15" thickBot="1" x14ac:dyDescent="0.4">
      <c r="A37"/>
      <c r="B37" s="51"/>
      <c r="C37" s="51"/>
      <c r="D37"/>
      <c r="E37"/>
      <c r="F37"/>
      <c r="G37"/>
    </row>
    <row r="38" spans="1:7" ht="14.5" x14ac:dyDescent="0.35">
      <c r="A38"/>
      <c r="B38" s="51"/>
      <c r="C38" s="51"/>
      <c r="D38" s="96" t="str">
        <f>D20</f>
        <v>janv 1900</v>
      </c>
      <c r="E38" s="96" t="e">
        <f>E20</f>
        <v>#NUM!</v>
      </c>
      <c r="F38" s="104" t="e">
        <f>F20</f>
        <v>#NUM!</v>
      </c>
      <c r="G38" s="96" t="str">
        <f>G20</f>
        <v>mai 3799</v>
      </c>
    </row>
    <row r="39" spans="1:7" ht="15" thickBot="1" x14ac:dyDescent="0.4">
      <c r="A39"/>
      <c r="B39" s="51"/>
      <c r="C39" s="51"/>
      <c r="D39" s="97"/>
      <c r="E39" s="97"/>
      <c r="F39" s="105"/>
      <c r="G39" s="97"/>
    </row>
    <row r="40" spans="1:7" ht="15.5" x14ac:dyDescent="0.35">
      <c r="A40" s="4" t="s">
        <v>87</v>
      </c>
      <c r="B40" s="51"/>
      <c r="C40" s="51"/>
      <c r="D40" s="6"/>
      <c r="E40" s="6"/>
      <c r="F40" s="26"/>
      <c r="G40" s="6"/>
    </row>
    <row r="41" spans="1:7" ht="5.9" customHeight="1" x14ac:dyDescent="0.35">
      <c r="A41"/>
      <c r="B41" s="51"/>
      <c r="C41" s="51"/>
      <c r="D41" s="7"/>
      <c r="E41" s="7"/>
      <c r="F41" s="27"/>
      <c r="G41" s="7"/>
    </row>
    <row r="42" spans="1:7" ht="14.5" x14ac:dyDescent="0.35">
      <c r="A42"/>
      <c r="B42" s="53" t="s">
        <v>11</v>
      </c>
      <c r="C42" s="51"/>
      <c r="D42" s="7">
        <f>D18</f>
        <v>0</v>
      </c>
      <c r="E42" s="30">
        <f>E18</f>
        <v>0</v>
      </c>
      <c r="F42" s="33">
        <f>F18</f>
        <v>0</v>
      </c>
      <c r="G42" s="7">
        <f>G18</f>
        <v>0</v>
      </c>
    </row>
    <row r="43" spans="1:7" ht="14.5" x14ac:dyDescent="0.35">
      <c r="A43"/>
      <c r="B43" s="53" t="s">
        <v>12</v>
      </c>
      <c r="C43" s="51"/>
      <c r="D43" s="7">
        <f>D36</f>
        <v>0</v>
      </c>
      <c r="E43" s="30">
        <f>E36</f>
        <v>0</v>
      </c>
      <c r="F43" s="33">
        <f>F36</f>
        <v>0</v>
      </c>
      <c r="G43" s="7">
        <f>G36</f>
        <v>0</v>
      </c>
    </row>
    <row r="44" spans="1:7" ht="5.9" customHeight="1" thickBot="1" x14ac:dyDescent="0.4">
      <c r="A44"/>
      <c r="B44" s="51"/>
      <c r="C44" s="51"/>
      <c r="D44" s="7"/>
      <c r="E44" s="7"/>
      <c r="F44" s="27"/>
      <c r="G44" s="7"/>
    </row>
    <row r="45" spans="1:7" ht="15.5" thickTop="1" thickBot="1" x14ac:dyDescent="0.4">
      <c r="A45"/>
      <c r="B45" s="54" t="s">
        <v>88</v>
      </c>
      <c r="C45" s="51"/>
      <c r="D45" s="15">
        <f>D42-D43</f>
        <v>0</v>
      </c>
      <c r="E45" s="15">
        <f t="shared" ref="E45:G45" si="4">E42-E43</f>
        <v>0</v>
      </c>
      <c r="F45" s="29">
        <f t="shared" si="4"/>
        <v>0</v>
      </c>
      <c r="G45" s="15">
        <f t="shared" si="4"/>
        <v>0</v>
      </c>
    </row>
    <row r="46" spans="1:7" ht="14.5" x14ac:dyDescent="0.35">
      <c r="A46"/>
      <c r="B46" s="51"/>
      <c r="C46" s="51"/>
      <c r="D46"/>
      <c r="E46"/>
      <c r="F46"/>
      <c r="G46"/>
    </row>
    <row r="47" spans="1:7" ht="14.5" x14ac:dyDescent="0.35">
      <c r="A47"/>
      <c r="B47" s="51"/>
      <c r="C47" s="51"/>
      <c r="D47"/>
      <c r="E47"/>
      <c r="F47"/>
      <c r="G47"/>
    </row>
    <row r="48" spans="1:7" ht="14.5" x14ac:dyDescent="0.35">
      <c r="A48"/>
      <c r="B48" s="51"/>
      <c r="C48" s="51"/>
      <c r="D48"/>
      <c r="E48"/>
      <c r="F48"/>
      <c r="G48"/>
    </row>
    <row r="49" spans="1:7" ht="14.5" x14ac:dyDescent="0.35">
      <c r="A49"/>
      <c r="B49" s="51"/>
      <c r="C49" s="51"/>
      <c r="D49"/>
      <c r="E49"/>
      <c r="F49"/>
      <c r="G49"/>
    </row>
    <row r="50" spans="1:7" ht="14.5" x14ac:dyDescent="0.35">
      <c r="A50"/>
      <c r="B50" s="51"/>
      <c r="C50" s="51"/>
      <c r="D50"/>
      <c r="E50"/>
      <c r="F50"/>
      <c r="G50"/>
    </row>
    <row r="51" spans="1:7" ht="14.5" x14ac:dyDescent="0.35">
      <c r="A51"/>
      <c r="B51" s="51"/>
      <c r="C51" s="51"/>
      <c r="D51"/>
      <c r="E51"/>
      <c r="F51"/>
      <c r="G51"/>
    </row>
    <row r="52" spans="1:7" ht="14.5" x14ac:dyDescent="0.35">
      <c r="A52"/>
      <c r="B52" s="51"/>
      <c r="C52" s="51"/>
      <c r="D52"/>
      <c r="E52"/>
      <c r="F52"/>
      <c r="G52"/>
    </row>
    <row r="53" spans="1:7" ht="14.5" x14ac:dyDescent="0.35">
      <c r="A53"/>
      <c r="B53" s="51"/>
      <c r="C53" s="51"/>
      <c r="D53"/>
      <c r="E53"/>
      <c r="F53"/>
      <c r="G53"/>
    </row>
    <row r="54" spans="1:7" ht="14.5" x14ac:dyDescent="0.35">
      <c r="A54"/>
      <c r="B54" s="51"/>
      <c r="C54" s="51"/>
      <c r="D54"/>
      <c r="E54"/>
      <c r="F54"/>
      <c r="G54"/>
    </row>
    <row r="55" spans="1:7" ht="14.5" x14ac:dyDescent="0.35">
      <c r="A55"/>
      <c r="B55" s="51"/>
      <c r="C55" s="51"/>
      <c r="D55"/>
      <c r="E55"/>
      <c r="F55"/>
      <c r="G55"/>
    </row>
    <row r="56" spans="1:7" ht="14.5" x14ac:dyDescent="0.35">
      <c r="A56"/>
      <c r="B56" s="51"/>
      <c r="C56" s="51"/>
      <c r="D56"/>
      <c r="E56"/>
      <c r="F56"/>
      <c r="G56"/>
    </row>
    <row r="57" spans="1:7" ht="14.5" x14ac:dyDescent="0.35">
      <c r="A57"/>
      <c r="B57" s="51"/>
      <c r="C57" s="51"/>
      <c r="D57"/>
      <c r="E57"/>
      <c r="F57"/>
      <c r="G57"/>
    </row>
    <row r="58" spans="1:7" ht="14.5" x14ac:dyDescent="0.35">
      <c r="A58"/>
      <c r="B58" s="51"/>
      <c r="C58" s="51"/>
      <c r="D58"/>
      <c r="E58"/>
      <c r="F58"/>
      <c r="G58"/>
    </row>
    <row r="59" spans="1:7" ht="14.5" x14ac:dyDescent="0.35">
      <c r="A59"/>
      <c r="B59" s="51"/>
      <c r="C59" s="51"/>
      <c r="D59"/>
      <c r="E59"/>
      <c r="F59"/>
      <c r="G59"/>
    </row>
    <row r="60" spans="1:7" ht="14.5" x14ac:dyDescent="0.35">
      <c r="A60"/>
      <c r="B60" s="51"/>
      <c r="C60" s="51"/>
      <c r="D60"/>
      <c r="E60"/>
      <c r="F60"/>
      <c r="G60"/>
    </row>
    <row r="61" spans="1:7" ht="14.5" x14ac:dyDescent="0.35">
      <c r="A61"/>
      <c r="B61" s="51"/>
      <c r="C61" s="51"/>
      <c r="D61"/>
      <c r="E61"/>
      <c r="F61"/>
      <c r="G61"/>
    </row>
    <row r="62" spans="1:7" ht="14.5" x14ac:dyDescent="0.35">
      <c r="A62"/>
      <c r="B62" s="51"/>
      <c r="C62" s="51"/>
      <c r="D62"/>
      <c r="E62"/>
      <c r="F62"/>
      <c r="G62"/>
    </row>
    <row r="63" spans="1:7" ht="14.5" x14ac:dyDescent="0.35">
      <c r="A63"/>
      <c r="B63" s="51"/>
      <c r="C63" s="51"/>
      <c r="D63"/>
      <c r="E63"/>
      <c r="F63"/>
      <c r="G63"/>
    </row>
    <row r="64" spans="1:7" ht="14.5" x14ac:dyDescent="0.35">
      <c r="A64"/>
      <c r="B64" s="51"/>
      <c r="C64" s="51"/>
      <c r="D64"/>
      <c r="E64"/>
      <c r="F64"/>
      <c r="G64"/>
    </row>
    <row r="65" spans="1:7" ht="14.5" x14ac:dyDescent="0.35">
      <c r="A65"/>
      <c r="B65" s="51"/>
      <c r="C65" s="51"/>
      <c r="D65"/>
      <c r="E65"/>
      <c r="F65"/>
      <c r="G65"/>
    </row>
    <row r="66" spans="1:7" ht="14.5" x14ac:dyDescent="0.35">
      <c r="A66"/>
      <c r="B66" s="51"/>
      <c r="C66" s="51"/>
      <c r="D66"/>
      <c r="E66"/>
      <c r="F66"/>
      <c r="G66"/>
    </row>
    <row r="67" spans="1:7" ht="14.5" x14ac:dyDescent="0.35">
      <c r="A67"/>
      <c r="B67" s="51"/>
      <c r="C67" s="51"/>
      <c r="D67"/>
      <c r="E67"/>
      <c r="F67"/>
      <c r="G67"/>
    </row>
    <row r="68" spans="1:7" ht="14.5" x14ac:dyDescent="0.35">
      <c r="A68"/>
      <c r="B68" s="51"/>
      <c r="C68" s="51"/>
      <c r="D68"/>
      <c r="E68"/>
      <c r="F68"/>
      <c r="G68"/>
    </row>
    <row r="69" spans="1:7" ht="14.5" x14ac:dyDescent="0.35">
      <c r="A69"/>
      <c r="B69" s="51"/>
      <c r="C69" s="51"/>
      <c r="D69"/>
      <c r="E69"/>
      <c r="F69"/>
      <c r="G69"/>
    </row>
    <row r="70" spans="1:7" ht="14.5" x14ac:dyDescent="0.35">
      <c r="A70"/>
      <c r="B70" s="51"/>
      <c r="C70" s="51"/>
      <c r="D70"/>
      <c r="E70"/>
      <c r="F70"/>
      <c r="G70"/>
    </row>
    <row r="71" spans="1:7" ht="14.5" x14ac:dyDescent="0.35">
      <c r="A71"/>
      <c r="B71" s="51"/>
      <c r="C71" s="51"/>
      <c r="D71"/>
      <c r="E71"/>
      <c r="F71"/>
      <c r="G71"/>
    </row>
    <row r="72" spans="1:7" ht="5.9" customHeight="1" x14ac:dyDescent="0.35">
      <c r="A72"/>
      <c r="B72" s="51"/>
      <c r="C72" s="51"/>
      <c r="D72"/>
      <c r="E72"/>
      <c r="F72"/>
      <c r="G72"/>
    </row>
    <row r="73" spans="1:7" s="14" customFormat="1" ht="17.149999999999999" customHeight="1" x14ac:dyDescent="0.35">
      <c r="A73"/>
      <c r="B73" s="51"/>
      <c r="C73" s="51"/>
      <c r="D73"/>
      <c r="E73"/>
      <c r="F73"/>
      <c r="G73"/>
    </row>
    <row r="74" spans="1:7" ht="14.5" x14ac:dyDescent="0.35">
      <c r="A74"/>
      <c r="B74" s="51"/>
      <c r="C74" s="51"/>
      <c r="D74"/>
      <c r="E74"/>
      <c r="F74"/>
      <c r="G74"/>
    </row>
    <row r="75" spans="1:7" ht="14.5" x14ac:dyDescent="0.35">
      <c r="A75"/>
      <c r="B75" s="51"/>
      <c r="C75" s="51"/>
      <c r="D75"/>
      <c r="E75"/>
      <c r="F75"/>
      <c r="G75"/>
    </row>
    <row r="76" spans="1:7" ht="14.5" x14ac:dyDescent="0.35">
      <c r="A76"/>
      <c r="B76" s="51"/>
      <c r="C76" s="51"/>
      <c r="D76"/>
      <c r="E76"/>
      <c r="F76"/>
      <c r="G76"/>
    </row>
    <row r="77" spans="1:7" ht="14.5" x14ac:dyDescent="0.35">
      <c r="A77"/>
      <c r="B77" s="51"/>
      <c r="C77" s="51"/>
      <c r="D77"/>
      <c r="E77"/>
      <c r="F77"/>
      <c r="G77"/>
    </row>
    <row r="78" spans="1:7" ht="14.5" x14ac:dyDescent="0.35">
      <c r="A78"/>
      <c r="B78" s="51"/>
      <c r="C78" s="51"/>
      <c r="D78"/>
      <c r="E78"/>
      <c r="F78"/>
      <c r="G78"/>
    </row>
    <row r="79" spans="1:7" ht="14.5" x14ac:dyDescent="0.35">
      <c r="A79"/>
      <c r="B79" s="51"/>
      <c r="C79" s="51"/>
      <c r="D79"/>
      <c r="E79"/>
      <c r="F79"/>
      <c r="G79"/>
    </row>
  </sheetData>
  <sheetProtection sheet="1" objects="1" scenarios="1" insertRows="0" deleteRows="0"/>
  <mergeCells count="12">
    <mergeCell ref="D38:D39"/>
    <mergeCell ref="E38:E39"/>
    <mergeCell ref="F38:F39"/>
    <mergeCell ref="G38:G39"/>
    <mergeCell ref="D4:D5"/>
    <mergeCell ref="E4:E5"/>
    <mergeCell ref="F4:F5"/>
    <mergeCell ref="G4:G5"/>
    <mergeCell ref="D20:D21"/>
    <mergeCell ref="E20:E21"/>
    <mergeCell ref="F20:F21"/>
    <mergeCell ref="G20:G21"/>
  </mergeCells>
  <pageMargins left="0.70866141732283472" right="0.70866141732283472" top="1.3385826771653544" bottom="0.74803149606299213" header="0.31496062992125984" footer="0.31496062992125984"/>
  <pageSetup orientation="portrait" r:id="rId1"/>
  <headerFooter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A822-C682-48DB-998E-74484519B4DD}">
  <sheetPr codeName="Sheet3"/>
  <dimension ref="A1:G200"/>
  <sheetViews>
    <sheetView view="pageLayout" zoomScaleNormal="100" workbookViewId="0"/>
  </sheetViews>
  <sheetFormatPr defaultColWidth="8.7265625" defaultRowHeight="14.5" x14ac:dyDescent="0.35"/>
  <cols>
    <col min="1" max="1" width="5" customWidth="1"/>
    <col min="2" max="2" width="2.453125" customWidth="1"/>
    <col min="3" max="3" width="29.7265625" customWidth="1"/>
    <col min="4" max="7" width="12.54296875" customWidth="1"/>
    <col min="8" max="8" width="5" customWidth="1"/>
  </cols>
  <sheetData>
    <row r="1" spans="1:7" ht="14.5" customHeight="1" x14ac:dyDescent="0.35">
      <c r="A1" s="17" t="s">
        <v>89</v>
      </c>
      <c r="B1" s="48"/>
      <c r="C1" s="48"/>
      <c r="D1" s="48"/>
      <c r="E1" s="48"/>
      <c r="F1" s="48"/>
      <c r="G1" s="48"/>
    </row>
    <row r="2" spans="1:7" ht="15.65" customHeight="1" x14ac:dyDescent="0.35">
      <c r="A2" s="17" t="s">
        <v>119</v>
      </c>
      <c r="B2" s="48"/>
      <c r="C2" s="48"/>
      <c r="D2" s="48"/>
      <c r="E2" s="48"/>
      <c r="F2" s="48"/>
      <c r="G2" s="48"/>
    </row>
    <row r="3" spans="1:7" ht="14.5" customHeight="1" thickBot="1" x14ac:dyDescent="0.4"/>
    <row r="4" spans="1:7" ht="14" customHeight="1" x14ac:dyDescent="0.35">
      <c r="A4" s="3"/>
      <c r="B4" s="3"/>
      <c r="C4" s="1"/>
      <c r="D4" s="110" t="s">
        <v>90</v>
      </c>
      <c r="E4" s="110" t="s">
        <v>8</v>
      </c>
    </row>
    <row r="5" spans="1:7" ht="14.5" customHeight="1" thickBot="1" x14ac:dyDescent="0.4">
      <c r="A5" s="3"/>
      <c r="B5" s="3"/>
      <c r="C5" s="1"/>
      <c r="D5" s="111"/>
      <c r="E5" s="111"/>
    </row>
    <row r="6" spans="1:7" ht="15.5" customHeight="1" x14ac:dyDescent="0.35">
      <c r="A6" s="4" t="s">
        <v>91</v>
      </c>
      <c r="B6" s="3"/>
      <c r="C6" s="1"/>
      <c r="D6" s="66"/>
      <c r="E6" s="66"/>
    </row>
    <row r="7" spans="1:7" ht="5.9" customHeight="1" x14ac:dyDescent="0.35">
      <c r="A7" s="3"/>
      <c r="B7" s="3"/>
      <c r="C7" s="1"/>
      <c r="D7" s="67"/>
      <c r="E7" s="67"/>
    </row>
    <row r="8" spans="1:7" ht="14" customHeight="1" x14ac:dyDescent="0.35">
      <c r="A8" s="3"/>
      <c r="B8" s="9" t="s">
        <v>66</v>
      </c>
      <c r="C8" s="12"/>
      <c r="D8" s="68">
        <v>0</v>
      </c>
      <c r="E8" s="68">
        <v>0</v>
      </c>
    </row>
    <row r="9" spans="1:7" ht="14" customHeight="1" x14ac:dyDescent="0.35">
      <c r="A9" s="3"/>
      <c r="B9" s="3"/>
      <c r="C9" s="1" t="s">
        <v>69</v>
      </c>
      <c r="D9" s="69">
        <v>0</v>
      </c>
      <c r="E9" s="69">
        <v>0</v>
      </c>
    </row>
    <row r="10" spans="1:7" ht="14" customHeight="1" x14ac:dyDescent="0.35">
      <c r="A10" s="3"/>
      <c r="B10" s="3"/>
      <c r="C10" s="1" t="s">
        <v>74</v>
      </c>
      <c r="D10" s="69">
        <v>0</v>
      </c>
      <c r="E10" s="69">
        <v>0</v>
      </c>
    </row>
    <row r="11" spans="1:7" ht="14" customHeight="1" x14ac:dyDescent="0.35">
      <c r="A11" s="3"/>
      <c r="B11" s="3"/>
      <c r="C11" s="1" t="s">
        <v>67</v>
      </c>
      <c r="D11" s="69">
        <v>0</v>
      </c>
      <c r="E11" s="69">
        <v>0</v>
      </c>
    </row>
    <row r="12" spans="1:7" ht="14" customHeight="1" x14ac:dyDescent="0.35">
      <c r="A12" s="3"/>
      <c r="B12" s="3"/>
      <c r="C12" s="1" t="s">
        <v>92</v>
      </c>
      <c r="D12" s="67">
        <v>0</v>
      </c>
      <c r="E12" s="67">
        <v>0</v>
      </c>
    </row>
    <row r="13" spans="1:7" ht="14" customHeight="1" x14ac:dyDescent="0.35">
      <c r="A13" s="3"/>
      <c r="B13" s="9" t="s">
        <v>51</v>
      </c>
      <c r="C13" s="12"/>
      <c r="D13" s="68">
        <v>0</v>
      </c>
      <c r="E13" s="68">
        <v>0</v>
      </c>
    </row>
    <row r="14" spans="1:7" ht="14" customHeight="1" x14ac:dyDescent="0.35">
      <c r="A14" s="3"/>
      <c r="B14" s="3"/>
      <c r="C14" s="1" t="s">
        <v>58</v>
      </c>
      <c r="D14" s="67">
        <v>0</v>
      </c>
      <c r="E14" s="67">
        <v>0</v>
      </c>
    </row>
    <row r="15" spans="1:7" ht="14" customHeight="1" x14ac:dyDescent="0.35">
      <c r="A15" s="3"/>
      <c r="B15" s="3"/>
      <c r="C15" s="1" t="s">
        <v>93</v>
      </c>
      <c r="D15" s="67">
        <v>0</v>
      </c>
      <c r="E15" s="67">
        <v>0</v>
      </c>
    </row>
    <row r="16" spans="1:7" ht="14" customHeight="1" x14ac:dyDescent="0.35">
      <c r="A16" s="3"/>
      <c r="B16" s="3"/>
      <c r="C16" s="1" t="s">
        <v>52</v>
      </c>
      <c r="D16" s="67">
        <v>0</v>
      </c>
      <c r="E16" s="67">
        <v>0</v>
      </c>
    </row>
    <row r="17" spans="1:5" ht="14" customHeight="1" x14ac:dyDescent="0.35">
      <c r="A17" s="3"/>
      <c r="B17" s="9" t="s">
        <v>27</v>
      </c>
      <c r="C17" s="12"/>
      <c r="D17" s="68">
        <v>0</v>
      </c>
      <c r="E17" s="68">
        <v>0</v>
      </c>
    </row>
    <row r="18" spans="1:5" ht="14" customHeight="1" x14ac:dyDescent="0.35">
      <c r="A18" s="3"/>
      <c r="B18" s="3"/>
      <c r="C18" s="1" t="s">
        <v>43</v>
      </c>
      <c r="D18" s="69">
        <v>0</v>
      </c>
      <c r="E18" s="69">
        <v>0</v>
      </c>
    </row>
    <row r="19" spans="1:5" ht="14" customHeight="1" x14ac:dyDescent="0.35">
      <c r="A19" s="3"/>
      <c r="B19" s="3"/>
      <c r="C19" s="1" t="s">
        <v>94</v>
      </c>
      <c r="D19" s="69">
        <v>0</v>
      </c>
      <c r="E19" s="69">
        <v>0</v>
      </c>
    </row>
    <row r="20" spans="1:5" ht="14" customHeight="1" x14ac:dyDescent="0.35">
      <c r="A20" s="3"/>
      <c r="B20" s="3"/>
      <c r="C20" s="1" t="s">
        <v>28</v>
      </c>
      <c r="D20" s="67">
        <v>0</v>
      </c>
      <c r="E20" s="67">
        <v>0</v>
      </c>
    </row>
    <row r="21" spans="1:5" ht="14" customHeight="1" x14ac:dyDescent="0.35">
      <c r="A21" s="3"/>
      <c r="B21" s="9" t="s">
        <v>32</v>
      </c>
      <c r="C21" s="10"/>
      <c r="D21" s="68">
        <v>0</v>
      </c>
      <c r="E21" s="68">
        <v>0</v>
      </c>
    </row>
    <row r="22" spans="1:5" ht="14" customHeight="1" x14ac:dyDescent="0.35">
      <c r="A22" s="3"/>
      <c r="B22" s="3"/>
      <c r="C22" s="1" t="s">
        <v>47</v>
      </c>
      <c r="D22" s="69">
        <v>0</v>
      </c>
      <c r="E22" s="69">
        <v>0</v>
      </c>
    </row>
    <row r="23" spans="1:5" ht="14" customHeight="1" x14ac:dyDescent="0.35">
      <c r="A23" s="3"/>
      <c r="B23" s="3"/>
      <c r="C23" s="1" t="s">
        <v>44</v>
      </c>
      <c r="D23" s="67">
        <v>0</v>
      </c>
      <c r="E23" s="67">
        <v>0</v>
      </c>
    </row>
    <row r="24" spans="1:5" ht="14" customHeight="1" x14ac:dyDescent="0.35">
      <c r="A24" s="3"/>
      <c r="B24" s="3"/>
      <c r="C24" s="1" t="s">
        <v>30</v>
      </c>
      <c r="D24" s="67">
        <v>0</v>
      </c>
      <c r="E24" s="67">
        <v>0</v>
      </c>
    </row>
    <row r="25" spans="1:5" ht="14" customHeight="1" x14ac:dyDescent="0.35">
      <c r="A25" s="3"/>
      <c r="B25" s="3"/>
      <c r="C25" s="1" t="s">
        <v>52</v>
      </c>
      <c r="D25" s="67">
        <v>0</v>
      </c>
      <c r="E25" s="67">
        <v>0</v>
      </c>
    </row>
    <row r="26" spans="1:5" ht="5.9" customHeight="1" thickBot="1" x14ac:dyDescent="0.4">
      <c r="A26" s="3"/>
      <c r="B26" s="3"/>
      <c r="C26" s="1"/>
      <c r="D26" s="67"/>
      <c r="E26" s="67"/>
    </row>
    <row r="27" spans="1:5" ht="17.25" customHeight="1" thickTop="1" thickBot="1" x14ac:dyDescent="0.4">
      <c r="A27" s="13" t="s">
        <v>95</v>
      </c>
      <c r="B27" s="13"/>
      <c r="C27" s="13"/>
      <c r="D27" s="71">
        <v>0</v>
      </c>
      <c r="E27" s="72">
        <v>0</v>
      </c>
    </row>
    <row r="28" spans="1:5" ht="14" customHeight="1" x14ac:dyDescent="0.35">
      <c r="A28" s="3"/>
      <c r="B28" s="3"/>
      <c r="C28" s="1"/>
      <c r="D28" s="73"/>
      <c r="E28" s="73"/>
    </row>
    <row r="29" spans="1:5" ht="14.5" customHeight="1" thickBot="1" x14ac:dyDescent="0.4">
      <c r="A29" s="3"/>
      <c r="B29" s="3"/>
      <c r="C29" s="1"/>
      <c r="D29" s="65"/>
      <c r="E29" s="65"/>
    </row>
    <row r="30" spans="1:5" ht="14" customHeight="1" x14ac:dyDescent="0.35">
      <c r="A30" s="3"/>
      <c r="B30" s="3"/>
      <c r="C30" s="1"/>
      <c r="D30" s="110" t="s">
        <v>90</v>
      </c>
      <c r="E30" s="110" t="s">
        <v>8</v>
      </c>
    </row>
    <row r="31" spans="1:5" ht="14.5" customHeight="1" thickBot="1" x14ac:dyDescent="0.4">
      <c r="A31" s="3"/>
      <c r="B31" s="3"/>
      <c r="C31" s="1"/>
      <c r="D31" s="111"/>
      <c r="E31" s="111"/>
    </row>
    <row r="32" spans="1:5" ht="15.5" customHeight="1" x14ac:dyDescent="0.35">
      <c r="A32" s="4" t="s">
        <v>96</v>
      </c>
      <c r="B32" s="3"/>
      <c r="C32" s="1"/>
      <c r="D32" s="66"/>
      <c r="E32" s="66"/>
    </row>
    <row r="33" spans="1:5" ht="5.9" customHeight="1" x14ac:dyDescent="0.35">
      <c r="A33" s="3"/>
      <c r="B33" s="3"/>
      <c r="C33" s="1"/>
      <c r="D33" s="67"/>
      <c r="E33" s="67"/>
    </row>
    <row r="34" spans="1:5" ht="14" customHeight="1" x14ac:dyDescent="0.35">
      <c r="A34" s="3"/>
      <c r="B34" s="9" t="s">
        <v>59</v>
      </c>
      <c r="C34" s="10"/>
      <c r="D34" s="68">
        <v>0</v>
      </c>
      <c r="E34" s="68">
        <v>0</v>
      </c>
    </row>
    <row r="35" spans="1:5" ht="14" customHeight="1" x14ac:dyDescent="0.35">
      <c r="A35" s="3"/>
      <c r="B35" s="3"/>
      <c r="C35" s="1" t="s">
        <v>60</v>
      </c>
      <c r="D35" s="67">
        <v>0</v>
      </c>
      <c r="E35" s="67">
        <v>0</v>
      </c>
    </row>
    <row r="36" spans="1:5" ht="14" customHeight="1" x14ac:dyDescent="0.35">
      <c r="A36" s="3"/>
      <c r="B36" s="3"/>
      <c r="C36" s="1" t="s">
        <v>77</v>
      </c>
      <c r="D36" s="67">
        <v>0</v>
      </c>
      <c r="E36" s="67">
        <v>0</v>
      </c>
    </row>
    <row r="37" spans="1:5" ht="14" customHeight="1" x14ac:dyDescent="0.35">
      <c r="A37" s="3"/>
      <c r="B37" s="3"/>
      <c r="C37" s="1" t="s">
        <v>97</v>
      </c>
      <c r="D37" s="67">
        <v>0</v>
      </c>
      <c r="E37" s="67">
        <v>0</v>
      </c>
    </row>
    <row r="38" spans="1:5" ht="14" customHeight="1" x14ac:dyDescent="0.35">
      <c r="A38" s="3"/>
      <c r="B38" s="3"/>
      <c r="C38" s="1" t="s">
        <v>52</v>
      </c>
      <c r="D38" s="67">
        <v>0</v>
      </c>
      <c r="E38" s="67">
        <v>0</v>
      </c>
    </row>
    <row r="39" spans="1:5" ht="14" customHeight="1" x14ac:dyDescent="0.35">
      <c r="A39" s="3"/>
      <c r="B39" s="9" t="s">
        <v>47</v>
      </c>
      <c r="C39" s="10"/>
      <c r="D39" s="68">
        <v>0</v>
      </c>
      <c r="E39" s="68">
        <v>0</v>
      </c>
    </row>
    <row r="40" spans="1:5" ht="14" customHeight="1" x14ac:dyDescent="0.35">
      <c r="A40" s="3"/>
      <c r="B40" s="3"/>
      <c r="C40" s="1" t="s">
        <v>48</v>
      </c>
      <c r="D40" s="67">
        <v>0</v>
      </c>
      <c r="E40" s="67">
        <v>0</v>
      </c>
    </row>
    <row r="41" spans="1:5" ht="14" customHeight="1" x14ac:dyDescent="0.35">
      <c r="A41" s="3"/>
      <c r="B41" s="3"/>
      <c r="C41" s="1" t="s">
        <v>49</v>
      </c>
      <c r="D41" s="67">
        <v>0</v>
      </c>
      <c r="E41" s="67">
        <v>0</v>
      </c>
    </row>
    <row r="42" spans="1:5" ht="14" customHeight="1" x14ac:dyDescent="0.35">
      <c r="A42" s="3"/>
      <c r="B42" s="3"/>
      <c r="C42" s="1" t="s">
        <v>50</v>
      </c>
      <c r="D42" s="67">
        <v>0</v>
      </c>
      <c r="E42" s="67">
        <v>0</v>
      </c>
    </row>
    <row r="43" spans="1:5" ht="14" customHeight="1" x14ac:dyDescent="0.35">
      <c r="A43" s="3"/>
      <c r="B43" s="3"/>
      <c r="C43" s="1" t="s">
        <v>52</v>
      </c>
      <c r="D43" s="67">
        <v>0</v>
      </c>
      <c r="E43" s="67">
        <v>0</v>
      </c>
    </row>
    <row r="44" spans="1:5" ht="14" customHeight="1" x14ac:dyDescent="0.35">
      <c r="A44" s="3"/>
      <c r="B44" s="9" t="s">
        <v>98</v>
      </c>
      <c r="C44" s="10"/>
      <c r="D44" s="68">
        <v>0</v>
      </c>
      <c r="E44" s="68">
        <v>0</v>
      </c>
    </row>
    <row r="45" spans="1:5" ht="14" customHeight="1" x14ac:dyDescent="0.35">
      <c r="A45" s="3"/>
      <c r="B45" s="3"/>
      <c r="C45" s="1" t="s">
        <v>99</v>
      </c>
      <c r="D45" s="67">
        <v>0</v>
      </c>
      <c r="E45" s="67">
        <v>0</v>
      </c>
    </row>
    <row r="46" spans="1:5" ht="14" customHeight="1" x14ac:dyDescent="0.35">
      <c r="A46" s="3"/>
      <c r="B46" s="3"/>
      <c r="C46" s="1" t="s">
        <v>100</v>
      </c>
      <c r="D46" s="67">
        <v>0</v>
      </c>
      <c r="E46" s="67">
        <v>0</v>
      </c>
    </row>
    <row r="47" spans="1:5" ht="14" customHeight="1" x14ac:dyDescent="0.35">
      <c r="A47" s="3"/>
      <c r="B47" s="3"/>
      <c r="C47" s="1" t="s">
        <v>101</v>
      </c>
      <c r="D47" s="67">
        <v>0</v>
      </c>
      <c r="E47" s="67">
        <v>0</v>
      </c>
    </row>
    <row r="48" spans="1:5" ht="14" customHeight="1" x14ac:dyDescent="0.35">
      <c r="A48" s="3"/>
      <c r="B48" s="3"/>
      <c r="C48" s="1" t="s">
        <v>52</v>
      </c>
      <c r="D48" s="67">
        <v>0</v>
      </c>
      <c r="E48" s="67">
        <v>0</v>
      </c>
    </row>
    <row r="49" spans="1:5" ht="14" customHeight="1" x14ac:dyDescent="0.35">
      <c r="A49" s="3"/>
      <c r="B49" s="9" t="s">
        <v>71</v>
      </c>
      <c r="C49" s="10"/>
      <c r="D49" s="68">
        <v>0</v>
      </c>
      <c r="E49" s="68">
        <v>0</v>
      </c>
    </row>
    <row r="50" spans="1:5" ht="14" customHeight="1" x14ac:dyDescent="0.35">
      <c r="A50" s="3"/>
      <c r="B50" s="3"/>
      <c r="C50" s="1" t="s">
        <v>72</v>
      </c>
      <c r="D50" s="67">
        <v>0</v>
      </c>
      <c r="E50" s="67">
        <v>0</v>
      </c>
    </row>
    <row r="51" spans="1:5" ht="14" customHeight="1" x14ac:dyDescent="0.35">
      <c r="A51" s="3"/>
      <c r="B51" s="3"/>
      <c r="C51" s="1" t="s">
        <v>76</v>
      </c>
      <c r="D51" s="67">
        <v>0</v>
      </c>
      <c r="E51" s="67">
        <v>0</v>
      </c>
    </row>
    <row r="52" spans="1:5" ht="14" customHeight="1" x14ac:dyDescent="0.35">
      <c r="A52" s="3"/>
      <c r="B52" s="3"/>
      <c r="C52" s="1" t="s">
        <v>30</v>
      </c>
      <c r="D52" s="67">
        <v>0</v>
      </c>
      <c r="E52" s="67">
        <v>0</v>
      </c>
    </row>
    <row r="53" spans="1:5" ht="14" customHeight="1" x14ac:dyDescent="0.35">
      <c r="A53" s="3"/>
      <c r="B53" s="3"/>
      <c r="C53" s="1" t="s">
        <v>62</v>
      </c>
      <c r="D53" s="67">
        <v>0</v>
      </c>
      <c r="E53" s="67">
        <v>0</v>
      </c>
    </row>
    <row r="54" spans="1:5" ht="14" customHeight="1" x14ac:dyDescent="0.35">
      <c r="A54" s="3"/>
      <c r="B54" s="3"/>
      <c r="C54" s="1" t="s">
        <v>102</v>
      </c>
      <c r="D54" s="67">
        <v>0</v>
      </c>
      <c r="E54" s="67">
        <v>0</v>
      </c>
    </row>
    <row r="55" spans="1:5" ht="14" customHeight="1" x14ac:dyDescent="0.35">
      <c r="A55" s="3"/>
      <c r="B55" s="3"/>
      <c r="C55" s="1" t="s">
        <v>103</v>
      </c>
      <c r="D55" s="67">
        <v>0</v>
      </c>
      <c r="E55" s="67">
        <v>0</v>
      </c>
    </row>
    <row r="56" spans="1:5" ht="14" customHeight="1" x14ac:dyDescent="0.35">
      <c r="A56" s="3"/>
      <c r="B56" s="3"/>
      <c r="C56" s="1" t="s">
        <v>52</v>
      </c>
      <c r="D56" s="67">
        <v>0</v>
      </c>
      <c r="E56" s="67">
        <v>0</v>
      </c>
    </row>
    <row r="57" spans="1:5" ht="14" customHeight="1" x14ac:dyDescent="0.35">
      <c r="A57" s="3"/>
      <c r="B57" s="9" t="s">
        <v>29</v>
      </c>
      <c r="C57" s="10"/>
      <c r="D57" s="68">
        <v>0</v>
      </c>
      <c r="E57" s="68">
        <v>0</v>
      </c>
    </row>
    <row r="58" spans="1:5" ht="14" customHeight="1" x14ac:dyDescent="0.35">
      <c r="A58" s="3"/>
      <c r="B58" s="3"/>
      <c r="C58" s="1" t="s">
        <v>40</v>
      </c>
      <c r="D58" s="69">
        <v>0</v>
      </c>
      <c r="E58" s="69">
        <v>0</v>
      </c>
    </row>
    <row r="59" spans="1:5" ht="14" customHeight="1" x14ac:dyDescent="0.35">
      <c r="A59" s="3"/>
      <c r="B59" s="3"/>
      <c r="C59" s="1" t="s">
        <v>30</v>
      </c>
      <c r="D59" s="67">
        <v>0</v>
      </c>
      <c r="E59" s="67">
        <v>0</v>
      </c>
    </row>
    <row r="60" spans="1:5" ht="14" customHeight="1" x14ac:dyDescent="0.35">
      <c r="A60" s="3"/>
      <c r="B60" s="3"/>
      <c r="C60" s="1" t="s">
        <v>52</v>
      </c>
      <c r="D60" s="67">
        <v>0</v>
      </c>
      <c r="E60" s="67">
        <v>0</v>
      </c>
    </row>
    <row r="61" spans="1:5" ht="14" customHeight="1" x14ac:dyDescent="0.35">
      <c r="A61" s="3"/>
      <c r="B61" s="9" t="s">
        <v>53</v>
      </c>
      <c r="C61" s="10"/>
      <c r="D61" s="68">
        <v>0</v>
      </c>
      <c r="E61" s="68">
        <v>0</v>
      </c>
    </row>
    <row r="62" spans="1:5" ht="14" customHeight="1" x14ac:dyDescent="0.35">
      <c r="A62" s="3"/>
      <c r="B62" s="3"/>
      <c r="C62" s="1" t="s">
        <v>70</v>
      </c>
      <c r="D62" s="69">
        <v>0</v>
      </c>
      <c r="E62" s="69">
        <v>0</v>
      </c>
    </row>
    <row r="63" spans="1:5" ht="14" customHeight="1" x14ac:dyDescent="0.35">
      <c r="A63" s="3"/>
      <c r="B63" s="3"/>
      <c r="C63" s="1" t="s">
        <v>54</v>
      </c>
      <c r="D63" s="67">
        <v>0</v>
      </c>
      <c r="E63" s="67">
        <v>0</v>
      </c>
    </row>
    <row r="64" spans="1:5" ht="14" customHeight="1" x14ac:dyDescent="0.35">
      <c r="A64" s="3"/>
      <c r="B64" s="9" t="s">
        <v>41</v>
      </c>
      <c r="C64" s="10"/>
      <c r="D64" s="68">
        <v>0</v>
      </c>
      <c r="E64" s="68">
        <v>0</v>
      </c>
    </row>
    <row r="65" spans="1:5" ht="14" customHeight="1" x14ac:dyDescent="0.35">
      <c r="A65" s="3"/>
      <c r="B65" s="3"/>
      <c r="C65" s="1" t="s">
        <v>42</v>
      </c>
      <c r="D65" s="67">
        <v>0</v>
      </c>
      <c r="E65" s="67">
        <v>0</v>
      </c>
    </row>
    <row r="66" spans="1:5" ht="14" customHeight="1" x14ac:dyDescent="0.35">
      <c r="A66" s="3"/>
      <c r="B66" s="3"/>
      <c r="C66" s="1" t="s">
        <v>104</v>
      </c>
      <c r="D66" s="67">
        <v>0</v>
      </c>
      <c r="E66" s="67">
        <v>0</v>
      </c>
    </row>
    <row r="67" spans="1:5" ht="14" customHeight="1" x14ac:dyDescent="0.35">
      <c r="A67" s="3"/>
      <c r="B67" s="3"/>
      <c r="C67" s="1" t="s">
        <v>105</v>
      </c>
      <c r="D67" s="67">
        <v>0</v>
      </c>
      <c r="E67" s="67">
        <v>0</v>
      </c>
    </row>
    <row r="68" spans="1:5" ht="14" customHeight="1" x14ac:dyDescent="0.35">
      <c r="A68" s="3"/>
      <c r="B68" s="3"/>
      <c r="C68" s="1" t="s">
        <v>52</v>
      </c>
      <c r="D68" s="67">
        <v>0</v>
      </c>
      <c r="E68" s="67">
        <v>0</v>
      </c>
    </row>
    <row r="69" spans="1:5" ht="14" customHeight="1" x14ac:dyDescent="0.35">
      <c r="A69" s="3"/>
      <c r="B69" s="9" t="s">
        <v>63</v>
      </c>
      <c r="C69" s="10"/>
      <c r="D69" s="68">
        <v>0</v>
      </c>
      <c r="E69" s="68">
        <v>0</v>
      </c>
    </row>
    <row r="70" spans="1:5" ht="14" customHeight="1" x14ac:dyDescent="0.35">
      <c r="A70" s="3"/>
      <c r="B70" s="3"/>
      <c r="C70" s="1" t="s">
        <v>64</v>
      </c>
      <c r="D70" s="69">
        <v>0</v>
      </c>
      <c r="E70" s="69">
        <v>0</v>
      </c>
    </row>
    <row r="71" spans="1:5" ht="14" customHeight="1" x14ac:dyDescent="0.35">
      <c r="A71" s="3"/>
      <c r="B71" s="3"/>
      <c r="C71" s="1" t="s">
        <v>62</v>
      </c>
      <c r="D71" s="67">
        <v>0</v>
      </c>
      <c r="E71" s="67">
        <v>0</v>
      </c>
    </row>
    <row r="72" spans="1:5" ht="14" customHeight="1" x14ac:dyDescent="0.35">
      <c r="A72" s="3"/>
      <c r="B72" s="3"/>
      <c r="C72" s="1" t="s">
        <v>52</v>
      </c>
      <c r="D72" s="67">
        <v>0</v>
      </c>
      <c r="E72" s="67">
        <v>0</v>
      </c>
    </row>
    <row r="73" spans="1:5" ht="14" customHeight="1" x14ac:dyDescent="0.35">
      <c r="A73" s="3"/>
      <c r="B73" s="9" t="s">
        <v>61</v>
      </c>
      <c r="C73" s="10"/>
      <c r="D73" s="68">
        <v>0</v>
      </c>
      <c r="E73" s="68">
        <v>0</v>
      </c>
    </row>
    <row r="74" spans="1:5" ht="14" customHeight="1" x14ac:dyDescent="0.35">
      <c r="A74" s="3"/>
      <c r="B74" s="3"/>
      <c r="C74" s="1" t="s">
        <v>72</v>
      </c>
      <c r="D74" s="67">
        <v>0</v>
      </c>
      <c r="E74" s="67">
        <v>0</v>
      </c>
    </row>
    <row r="75" spans="1:5" ht="14" customHeight="1" x14ac:dyDescent="0.35">
      <c r="A75" s="3"/>
      <c r="B75" s="3"/>
      <c r="C75" s="1" t="s">
        <v>62</v>
      </c>
      <c r="D75" s="69">
        <v>0</v>
      </c>
      <c r="E75" s="69">
        <v>0</v>
      </c>
    </row>
    <row r="76" spans="1:5" ht="14" customHeight="1" x14ac:dyDescent="0.35">
      <c r="A76" s="3"/>
      <c r="B76" s="3"/>
      <c r="C76" s="1" t="s">
        <v>93</v>
      </c>
      <c r="D76" s="69">
        <v>0</v>
      </c>
      <c r="E76" s="67">
        <v>0</v>
      </c>
    </row>
    <row r="77" spans="1:5" ht="14" customHeight="1" x14ac:dyDescent="0.35">
      <c r="A77" s="3"/>
      <c r="B77" s="3"/>
      <c r="C77" s="1" t="s">
        <v>52</v>
      </c>
      <c r="D77" s="67">
        <v>0</v>
      </c>
      <c r="E77" s="67">
        <v>0</v>
      </c>
    </row>
    <row r="78" spans="1:5" ht="14" customHeight="1" x14ac:dyDescent="0.35">
      <c r="A78" s="3"/>
      <c r="B78" s="9" t="s">
        <v>45</v>
      </c>
      <c r="C78" s="10"/>
      <c r="D78" s="68">
        <v>0</v>
      </c>
      <c r="E78" s="68">
        <v>0</v>
      </c>
    </row>
    <row r="79" spans="1:5" ht="14" customHeight="1" x14ac:dyDescent="0.35">
      <c r="A79" s="3"/>
      <c r="B79" s="3"/>
      <c r="C79" s="1" t="s">
        <v>46</v>
      </c>
      <c r="D79" s="67">
        <v>0</v>
      </c>
      <c r="E79" s="69">
        <v>0</v>
      </c>
    </row>
    <row r="80" spans="1:5" ht="14" customHeight="1" x14ac:dyDescent="0.35">
      <c r="A80" s="3"/>
      <c r="B80" s="3"/>
      <c r="C80" s="1" t="s">
        <v>73</v>
      </c>
      <c r="D80" s="67">
        <v>0</v>
      </c>
      <c r="E80" s="69">
        <v>0</v>
      </c>
    </row>
    <row r="81" spans="1:5" ht="14" customHeight="1" x14ac:dyDescent="0.35">
      <c r="A81" s="3"/>
      <c r="B81" s="3"/>
      <c r="C81" s="1" t="s">
        <v>57</v>
      </c>
      <c r="D81" s="67">
        <v>0</v>
      </c>
      <c r="E81" s="69">
        <v>0</v>
      </c>
    </row>
    <row r="82" spans="1:5" ht="14" customHeight="1" x14ac:dyDescent="0.35">
      <c r="A82" s="3"/>
      <c r="B82" s="3"/>
      <c r="C82" s="1" t="s">
        <v>55</v>
      </c>
      <c r="D82" s="67">
        <v>0</v>
      </c>
      <c r="E82" s="69">
        <v>0</v>
      </c>
    </row>
    <row r="83" spans="1:5" ht="14" customHeight="1" x14ac:dyDescent="0.35">
      <c r="A83" s="3"/>
      <c r="B83" s="3"/>
      <c r="C83" s="1" t="s">
        <v>52</v>
      </c>
      <c r="D83" s="67">
        <v>0</v>
      </c>
      <c r="E83" s="69">
        <v>0</v>
      </c>
    </row>
    <row r="84" spans="1:5" ht="5.9" customHeight="1" thickBot="1" x14ac:dyDescent="0.4">
      <c r="A84" s="3"/>
      <c r="B84" s="3"/>
      <c r="C84" s="1"/>
      <c r="D84" s="67"/>
      <c r="E84" s="67"/>
    </row>
    <row r="85" spans="1:5" ht="17.25" customHeight="1" thickTop="1" thickBot="1" x14ac:dyDescent="0.4">
      <c r="A85" s="13" t="s">
        <v>106</v>
      </c>
      <c r="B85" s="13"/>
      <c r="C85" s="14"/>
      <c r="D85" s="72">
        <v>0</v>
      </c>
      <c r="E85" s="72">
        <v>0</v>
      </c>
    </row>
    <row r="86" spans="1:5" ht="14" customHeight="1" x14ac:dyDescent="0.35">
      <c r="A86" s="3"/>
      <c r="B86" s="3"/>
      <c r="C86" s="1"/>
      <c r="D86" s="65"/>
      <c r="E86" s="65"/>
    </row>
    <row r="87" spans="1:5" ht="14.5" customHeight="1" thickBot="1" x14ac:dyDescent="0.4">
      <c r="A87" s="3"/>
      <c r="B87" s="3"/>
      <c r="C87" s="1"/>
      <c r="D87" s="65"/>
      <c r="E87" s="65"/>
    </row>
    <row r="88" spans="1:5" ht="14" customHeight="1" x14ac:dyDescent="0.35">
      <c r="A88" s="3"/>
      <c r="B88" s="3"/>
      <c r="C88" s="1"/>
      <c r="D88" s="110" t="s">
        <v>90</v>
      </c>
      <c r="E88" s="110" t="s">
        <v>8</v>
      </c>
    </row>
    <row r="89" spans="1:5" ht="14.5" customHeight="1" thickBot="1" x14ac:dyDescent="0.4">
      <c r="A89" s="3"/>
      <c r="B89" s="3"/>
      <c r="C89" s="1"/>
      <c r="D89" s="111"/>
      <c r="E89" s="111"/>
    </row>
    <row r="90" spans="1:5" ht="14" customHeight="1" x14ac:dyDescent="0.35">
      <c r="A90" s="3" t="s">
        <v>6</v>
      </c>
      <c r="B90" s="3"/>
      <c r="C90" s="1"/>
      <c r="D90" s="108">
        <v>0</v>
      </c>
      <c r="E90" s="108">
        <v>0</v>
      </c>
    </row>
    <row r="91" spans="1:5" ht="14.5" customHeight="1" thickBot="1" x14ac:dyDescent="0.4">
      <c r="A91" s="3" t="s">
        <v>7</v>
      </c>
      <c r="B91" s="3"/>
      <c r="C91" s="1"/>
      <c r="D91" s="109"/>
      <c r="E91" s="109"/>
    </row>
    <row r="92" spans="1:5" ht="14" customHeight="1" x14ac:dyDescent="0.35">
      <c r="A92" s="3"/>
      <c r="B92" s="3"/>
      <c r="C92" s="1"/>
      <c r="D92" s="65"/>
      <c r="E92" s="65"/>
    </row>
    <row r="93" spans="1:5" ht="14" customHeight="1" x14ac:dyDescent="0.35">
      <c r="A93" s="3"/>
      <c r="B93" s="3"/>
      <c r="C93" s="1"/>
      <c r="D93" s="65"/>
      <c r="E93" s="65"/>
    </row>
    <row r="94" spans="1:5" ht="14" customHeight="1" x14ac:dyDescent="0.35">
      <c r="A94" s="3"/>
      <c r="B94" s="3"/>
      <c r="C94" s="1"/>
      <c r="D94" s="65"/>
      <c r="E94" s="65"/>
    </row>
    <row r="95" spans="1:5" ht="14" customHeight="1" x14ac:dyDescent="0.35">
      <c r="A95" s="3"/>
      <c r="B95" s="3"/>
      <c r="C95" s="1"/>
      <c r="D95" s="65"/>
      <c r="E95" s="65"/>
    </row>
    <row r="96" spans="1:5" ht="14" customHeight="1" x14ac:dyDescent="0.35">
      <c r="A96" s="3"/>
      <c r="B96" s="3"/>
      <c r="C96" s="1"/>
      <c r="D96" s="65"/>
      <c r="E96" s="65"/>
    </row>
    <row r="97" spans="1:5" ht="14" customHeight="1" x14ac:dyDescent="0.35">
      <c r="A97" s="3"/>
      <c r="B97" s="3"/>
      <c r="C97" s="1"/>
      <c r="D97" s="65"/>
      <c r="E97" s="65"/>
    </row>
    <row r="98" spans="1:5" ht="14" customHeight="1" x14ac:dyDescent="0.35">
      <c r="A98" s="3"/>
      <c r="B98" s="3"/>
      <c r="C98" s="1"/>
      <c r="D98" s="65"/>
      <c r="E98" s="65"/>
    </row>
    <row r="99" spans="1:5" ht="14" customHeight="1" x14ac:dyDescent="0.35">
      <c r="A99" s="3"/>
      <c r="B99" s="3"/>
      <c r="C99" s="1"/>
      <c r="D99" s="65"/>
      <c r="E99" s="65"/>
    </row>
    <row r="100" spans="1:5" ht="14" customHeight="1" x14ac:dyDescent="0.35">
      <c r="A100" s="3"/>
      <c r="B100" s="3"/>
      <c r="C100" s="1"/>
      <c r="D100" s="65"/>
      <c r="E100" s="65"/>
    </row>
    <row r="101" spans="1:5" ht="14" customHeight="1" x14ac:dyDescent="0.35">
      <c r="A101" s="3"/>
      <c r="B101" s="3"/>
      <c r="C101" s="1"/>
      <c r="D101" s="65"/>
      <c r="E101" s="65"/>
    </row>
    <row r="102" spans="1:5" ht="14" customHeight="1" x14ac:dyDescent="0.35">
      <c r="A102" s="3"/>
      <c r="B102" s="3"/>
      <c r="C102" s="1"/>
      <c r="D102" s="65"/>
      <c r="E102" s="65"/>
    </row>
    <row r="103" spans="1:5" ht="14" customHeight="1" x14ac:dyDescent="0.35">
      <c r="A103" s="3"/>
      <c r="B103" s="3"/>
      <c r="C103" s="1"/>
      <c r="D103" s="65"/>
      <c r="E103" s="65"/>
    </row>
    <row r="104" spans="1:5" ht="14" customHeight="1" x14ac:dyDescent="0.35">
      <c r="A104" s="3"/>
      <c r="B104" s="3"/>
      <c r="C104" s="1"/>
      <c r="D104" s="65"/>
      <c r="E104" s="65"/>
    </row>
    <row r="105" spans="1:5" ht="14" customHeight="1" x14ac:dyDescent="0.35">
      <c r="A105" s="3"/>
      <c r="B105" s="3"/>
      <c r="C105" s="1"/>
      <c r="D105" s="65"/>
      <c r="E105" s="65"/>
    </row>
    <row r="106" spans="1:5" ht="14" customHeight="1" x14ac:dyDescent="0.35">
      <c r="A106" s="3"/>
      <c r="B106" s="3"/>
      <c r="C106" s="1"/>
      <c r="D106" s="65"/>
      <c r="E106" s="65"/>
    </row>
    <row r="107" spans="1:5" ht="14" customHeight="1" x14ac:dyDescent="0.35">
      <c r="A107" s="3"/>
      <c r="B107" s="3"/>
      <c r="C107" s="1"/>
      <c r="D107" s="65"/>
      <c r="E107" s="65"/>
    </row>
    <row r="108" spans="1:5" ht="14" customHeight="1" x14ac:dyDescent="0.35">
      <c r="A108" s="3"/>
      <c r="B108" s="3"/>
      <c r="C108" s="1"/>
      <c r="D108" s="65"/>
      <c r="E108" s="65"/>
    </row>
    <row r="109" spans="1:5" ht="14" customHeight="1" x14ac:dyDescent="0.35">
      <c r="A109" s="3"/>
      <c r="B109" s="3"/>
      <c r="C109" s="1"/>
      <c r="D109" s="65"/>
      <c r="E109" s="65"/>
    </row>
    <row r="110" spans="1:5" ht="14" customHeight="1" x14ac:dyDescent="0.35">
      <c r="A110" s="3"/>
      <c r="B110" s="3"/>
      <c r="C110" s="1"/>
      <c r="D110" s="65"/>
      <c r="E110" s="65"/>
    </row>
    <row r="111" spans="1:5" ht="14" customHeight="1" x14ac:dyDescent="0.35">
      <c r="A111" s="3"/>
      <c r="B111" s="3"/>
      <c r="C111" s="1"/>
      <c r="D111" s="65"/>
      <c r="E111" s="65"/>
    </row>
    <row r="112" spans="1:5" ht="14" customHeight="1" x14ac:dyDescent="0.35">
      <c r="A112" s="3"/>
      <c r="B112" s="3"/>
      <c r="C112" s="1"/>
      <c r="D112" s="65"/>
      <c r="E112" s="65"/>
    </row>
    <row r="113" spans="1:5" ht="14" customHeight="1" x14ac:dyDescent="0.35">
      <c r="A113" s="3"/>
      <c r="B113" s="3"/>
      <c r="C113" s="1"/>
      <c r="D113" s="65"/>
      <c r="E113" s="65"/>
    </row>
    <row r="114" spans="1:5" ht="14" customHeight="1" x14ac:dyDescent="0.35">
      <c r="A114" s="3"/>
      <c r="B114" s="3"/>
      <c r="C114" s="1"/>
      <c r="D114" s="65"/>
      <c r="E114" s="65"/>
    </row>
    <row r="115" spans="1:5" ht="14" customHeight="1" x14ac:dyDescent="0.35">
      <c r="A115" s="3"/>
      <c r="B115" s="3"/>
      <c r="C115" s="1"/>
      <c r="D115" s="65"/>
      <c r="E115" s="65"/>
    </row>
    <row r="116" spans="1:5" ht="14" customHeight="1" x14ac:dyDescent="0.35">
      <c r="A116" s="3"/>
      <c r="B116" s="3"/>
      <c r="C116" s="1"/>
      <c r="D116" s="65"/>
      <c r="E116" s="65"/>
    </row>
    <row r="117" spans="1:5" ht="14" customHeight="1" x14ac:dyDescent="0.35">
      <c r="A117" s="3"/>
      <c r="B117" s="3"/>
      <c r="C117" s="1"/>
      <c r="D117" s="65"/>
      <c r="E117" s="65"/>
    </row>
    <row r="118" spans="1:5" ht="14" customHeight="1" x14ac:dyDescent="0.35">
      <c r="A118" s="3"/>
      <c r="B118" s="3"/>
      <c r="C118" s="1"/>
      <c r="D118" s="65"/>
      <c r="E118" s="65"/>
    </row>
    <row r="119" spans="1:5" ht="14" customHeight="1" x14ac:dyDescent="0.35">
      <c r="A119" s="3"/>
      <c r="B119" s="3"/>
      <c r="C119" s="1"/>
      <c r="D119" s="65"/>
      <c r="E119" s="65"/>
    </row>
    <row r="120" spans="1:5" ht="14" customHeight="1" x14ac:dyDescent="0.35">
      <c r="A120" s="3"/>
      <c r="B120" s="3"/>
      <c r="C120" s="1"/>
      <c r="D120" s="65"/>
      <c r="E120" s="65"/>
    </row>
    <row r="121" spans="1:5" ht="14" customHeight="1" x14ac:dyDescent="0.35">
      <c r="A121" s="3"/>
      <c r="B121" s="3"/>
      <c r="C121" s="1"/>
      <c r="D121" s="65"/>
      <c r="E121" s="65"/>
    </row>
    <row r="122" spans="1:5" ht="14" customHeight="1" x14ac:dyDescent="0.35">
      <c r="A122" s="3"/>
      <c r="B122" s="3"/>
      <c r="C122" s="1"/>
      <c r="D122" s="65"/>
      <c r="E122" s="65"/>
    </row>
    <row r="123" spans="1:5" ht="14" customHeight="1" x14ac:dyDescent="0.35">
      <c r="A123" s="3"/>
      <c r="B123" s="3"/>
      <c r="C123" s="1"/>
      <c r="D123" s="65"/>
      <c r="E123" s="65"/>
    </row>
    <row r="124" spans="1:5" ht="14" customHeight="1" x14ac:dyDescent="0.35">
      <c r="A124" s="3"/>
      <c r="B124" s="3"/>
      <c r="C124" s="1"/>
      <c r="D124" s="65"/>
      <c r="E124" s="65"/>
    </row>
    <row r="125" spans="1:5" ht="14" customHeight="1" x14ac:dyDescent="0.35">
      <c r="A125" s="3"/>
      <c r="B125" s="3"/>
      <c r="C125" s="1"/>
      <c r="D125" s="65"/>
      <c r="E125" s="65"/>
    </row>
    <row r="126" spans="1:5" ht="14" customHeight="1" x14ac:dyDescent="0.35">
      <c r="A126" s="3"/>
      <c r="B126" s="3"/>
      <c r="C126" s="1"/>
      <c r="D126" s="65"/>
      <c r="E126" s="65"/>
    </row>
    <row r="127" spans="1:5" ht="14" customHeight="1" x14ac:dyDescent="0.35">
      <c r="A127" s="3"/>
      <c r="B127" s="3"/>
      <c r="C127" s="1"/>
      <c r="D127" s="65"/>
      <c r="E127" s="65"/>
    </row>
    <row r="128" spans="1:5" ht="14" customHeight="1" x14ac:dyDescent="0.35">
      <c r="A128" s="3"/>
      <c r="B128" s="3"/>
      <c r="C128" s="1"/>
      <c r="D128" s="65"/>
      <c r="E128" s="65"/>
    </row>
    <row r="129" spans="1:5" ht="14" customHeight="1" x14ac:dyDescent="0.35">
      <c r="A129" s="3"/>
      <c r="B129" s="3"/>
      <c r="C129" s="1"/>
      <c r="D129" s="65"/>
      <c r="E129" s="65"/>
    </row>
    <row r="130" spans="1:5" ht="14" customHeight="1" x14ac:dyDescent="0.35">
      <c r="A130" s="3"/>
      <c r="B130" s="3"/>
      <c r="C130" s="1"/>
      <c r="D130" s="65"/>
      <c r="E130" s="65"/>
    </row>
    <row r="131" spans="1:5" ht="14" customHeight="1" x14ac:dyDescent="0.35">
      <c r="A131" s="3"/>
      <c r="B131" s="3"/>
      <c r="C131" s="1"/>
      <c r="D131" s="65"/>
      <c r="E131" s="65"/>
    </row>
    <row r="132" spans="1:5" ht="14" customHeight="1" x14ac:dyDescent="0.35">
      <c r="A132" s="3"/>
      <c r="B132" s="3"/>
      <c r="C132" s="1"/>
      <c r="D132" s="65"/>
      <c r="E132" s="65"/>
    </row>
    <row r="133" spans="1:5" ht="14" customHeight="1" x14ac:dyDescent="0.35">
      <c r="A133" s="3"/>
      <c r="B133" s="3"/>
      <c r="C133" s="1"/>
      <c r="D133" s="65"/>
      <c r="E133" s="65"/>
    </row>
    <row r="134" spans="1:5" ht="14" customHeight="1" x14ac:dyDescent="0.35">
      <c r="A134" s="3"/>
      <c r="B134" s="3"/>
      <c r="C134" s="1"/>
      <c r="D134" s="65"/>
      <c r="E134" s="65"/>
    </row>
    <row r="135" spans="1:5" ht="14" customHeight="1" x14ac:dyDescent="0.35">
      <c r="A135" s="3"/>
      <c r="B135" s="3"/>
      <c r="C135" s="1"/>
      <c r="D135" s="65"/>
      <c r="E135" s="65"/>
    </row>
    <row r="136" spans="1:5" ht="14" customHeight="1" x14ac:dyDescent="0.35">
      <c r="A136" s="3"/>
      <c r="B136" s="3"/>
      <c r="C136" s="1"/>
      <c r="D136" s="65"/>
      <c r="E136" s="65"/>
    </row>
    <row r="137" spans="1:5" ht="14" customHeight="1" x14ac:dyDescent="0.35">
      <c r="A137" s="3"/>
      <c r="B137" s="3"/>
      <c r="C137" s="1"/>
      <c r="D137" s="65"/>
      <c r="E137" s="65"/>
    </row>
    <row r="138" spans="1:5" ht="14" customHeight="1" x14ac:dyDescent="0.35">
      <c r="A138" s="3"/>
      <c r="B138" s="3"/>
      <c r="C138" s="1"/>
      <c r="D138" s="65"/>
      <c r="E138" s="65"/>
    </row>
    <row r="139" spans="1:5" ht="14" customHeight="1" x14ac:dyDescent="0.35">
      <c r="A139" s="3"/>
      <c r="B139" s="3"/>
      <c r="C139" s="1"/>
      <c r="D139" s="65"/>
      <c r="E139" s="65"/>
    </row>
    <row r="140" spans="1:5" ht="14" customHeight="1" x14ac:dyDescent="0.35">
      <c r="A140" s="3"/>
      <c r="B140" s="3"/>
      <c r="C140" s="1"/>
      <c r="D140" s="65"/>
      <c r="E140" s="65"/>
    </row>
    <row r="141" spans="1:5" ht="14" customHeight="1" x14ac:dyDescent="0.35">
      <c r="A141" s="3"/>
      <c r="B141" s="3"/>
      <c r="C141" s="1"/>
      <c r="D141" s="65"/>
      <c r="E141" s="65"/>
    </row>
    <row r="142" spans="1:5" ht="14" customHeight="1" x14ac:dyDescent="0.35">
      <c r="A142" s="3"/>
      <c r="B142" s="3"/>
      <c r="C142" s="1"/>
      <c r="D142" s="65"/>
      <c r="E142" s="65"/>
    </row>
    <row r="143" spans="1:5" ht="14" customHeight="1" x14ac:dyDescent="0.35">
      <c r="A143" s="3"/>
      <c r="B143" s="3"/>
      <c r="C143" s="1"/>
      <c r="D143" s="65"/>
      <c r="E143" s="65"/>
    </row>
    <row r="144" spans="1:5" ht="14" customHeight="1" x14ac:dyDescent="0.35">
      <c r="A144" s="3"/>
      <c r="B144" s="3"/>
      <c r="C144" s="1"/>
      <c r="D144" s="65"/>
      <c r="E144" s="65"/>
    </row>
    <row r="145" spans="1:5" ht="14" customHeight="1" x14ac:dyDescent="0.35">
      <c r="A145" s="3"/>
      <c r="B145" s="3"/>
      <c r="C145" s="1"/>
      <c r="D145" s="65"/>
      <c r="E145" s="65"/>
    </row>
    <row r="146" spans="1:5" ht="14" customHeight="1" x14ac:dyDescent="0.35">
      <c r="A146" s="3"/>
      <c r="B146" s="3"/>
      <c r="C146" s="1"/>
      <c r="D146" s="65"/>
      <c r="E146" s="65"/>
    </row>
    <row r="147" spans="1:5" ht="14" customHeight="1" x14ac:dyDescent="0.35">
      <c r="A147" s="3"/>
      <c r="B147" s="3"/>
      <c r="C147" s="1"/>
      <c r="D147" s="65"/>
      <c r="E147" s="65"/>
    </row>
    <row r="148" spans="1:5" ht="14" customHeight="1" x14ac:dyDescent="0.35">
      <c r="A148" s="3"/>
      <c r="B148" s="3"/>
      <c r="C148" s="1"/>
      <c r="D148" s="65"/>
      <c r="E148" s="65"/>
    </row>
    <row r="149" spans="1:5" ht="14" customHeight="1" x14ac:dyDescent="0.35">
      <c r="A149" s="3"/>
      <c r="B149" s="3"/>
      <c r="C149" s="1"/>
      <c r="D149" s="65"/>
      <c r="E149" s="65"/>
    </row>
    <row r="150" spans="1:5" ht="14" customHeight="1" x14ac:dyDescent="0.35">
      <c r="A150" s="3"/>
      <c r="B150" s="3"/>
      <c r="C150" s="1"/>
      <c r="D150" s="65"/>
      <c r="E150" s="65"/>
    </row>
    <row r="151" spans="1:5" ht="14.15" customHeight="1" x14ac:dyDescent="0.35"/>
    <row r="152" spans="1:5" ht="14.15" customHeight="1" x14ac:dyDescent="0.35"/>
    <row r="153" spans="1:5" ht="14.15" customHeight="1" x14ac:dyDescent="0.35"/>
    <row r="154" spans="1:5" ht="14.15" customHeight="1" x14ac:dyDescent="0.35"/>
    <row r="155" spans="1:5" ht="14.15" customHeight="1" x14ac:dyDescent="0.35"/>
    <row r="156" spans="1:5" ht="14.15" customHeight="1" x14ac:dyDescent="0.35"/>
    <row r="157" spans="1:5" ht="14.15" customHeight="1" x14ac:dyDescent="0.35"/>
    <row r="158" spans="1:5" ht="14.15" customHeight="1" x14ac:dyDescent="0.35"/>
    <row r="159" spans="1:5" ht="14.15" customHeight="1" x14ac:dyDescent="0.35"/>
    <row r="160" spans="1:5" ht="14.15" customHeight="1" x14ac:dyDescent="0.35"/>
    <row r="161" ht="14.15" customHeight="1" x14ac:dyDescent="0.35"/>
    <row r="162" ht="14.15" customHeight="1" x14ac:dyDescent="0.35"/>
    <row r="163" ht="14.15" customHeight="1" x14ac:dyDescent="0.35"/>
    <row r="164" ht="14.15" customHeight="1" x14ac:dyDescent="0.35"/>
    <row r="165" ht="14.15" customHeight="1" x14ac:dyDescent="0.35"/>
    <row r="166" ht="14.15" customHeight="1" x14ac:dyDescent="0.35"/>
    <row r="167" ht="14.15" customHeight="1" x14ac:dyDescent="0.35"/>
    <row r="168" ht="14.15" customHeight="1" x14ac:dyDescent="0.35"/>
    <row r="169" ht="14.15" customHeight="1" x14ac:dyDescent="0.35"/>
    <row r="170" ht="14.15" customHeight="1" x14ac:dyDescent="0.35"/>
    <row r="171" ht="14.15" customHeight="1" x14ac:dyDescent="0.35"/>
    <row r="172" ht="14.15" customHeight="1" x14ac:dyDescent="0.35"/>
    <row r="173" ht="14.15" customHeight="1" x14ac:dyDescent="0.35"/>
    <row r="174" ht="14.15" customHeight="1" x14ac:dyDescent="0.35"/>
    <row r="175" ht="14.15" customHeight="1" x14ac:dyDescent="0.35"/>
    <row r="176" ht="14.15" customHeight="1" x14ac:dyDescent="0.35"/>
    <row r="177" ht="14.15" customHeight="1" x14ac:dyDescent="0.35"/>
    <row r="178" ht="14.15" customHeight="1" x14ac:dyDescent="0.35"/>
    <row r="179" ht="14.15" customHeight="1" x14ac:dyDescent="0.35"/>
    <row r="180" ht="14.15" customHeight="1" x14ac:dyDescent="0.35"/>
    <row r="181" ht="14.15" customHeight="1" x14ac:dyDescent="0.35"/>
    <row r="182" ht="14.15" customHeight="1" x14ac:dyDescent="0.35"/>
    <row r="183" ht="14.15" customHeight="1" x14ac:dyDescent="0.35"/>
    <row r="184" ht="14.15" customHeight="1" x14ac:dyDescent="0.35"/>
    <row r="185" ht="14.15" customHeight="1" x14ac:dyDescent="0.35"/>
    <row r="186" ht="14.15" customHeight="1" x14ac:dyDescent="0.35"/>
    <row r="187" ht="14.15" customHeight="1" x14ac:dyDescent="0.35"/>
    <row r="188" ht="14.15" customHeight="1" x14ac:dyDescent="0.35"/>
    <row r="189" ht="14.15" customHeight="1" x14ac:dyDescent="0.35"/>
    <row r="190" ht="14.15" customHeight="1" x14ac:dyDescent="0.35"/>
    <row r="191" ht="14.15" customHeight="1" x14ac:dyDescent="0.35"/>
    <row r="192" ht="14.15" customHeight="1" x14ac:dyDescent="0.35"/>
    <row r="193" ht="14.15" customHeight="1" x14ac:dyDescent="0.35"/>
    <row r="194" ht="14.15" customHeight="1" x14ac:dyDescent="0.35"/>
    <row r="195" ht="14.15" customHeight="1" x14ac:dyDescent="0.35"/>
    <row r="196" ht="14.15" customHeight="1" x14ac:dyDescent="0.35"/>
    <row r="197" ht="14.15" customHeight="1" x14ac:dyDescent="0.35"/>
    <row r="198" ht="14.15" customHeight="1" x14ac:dyDescent="0.35"/>
    <row r="199" ht="14.15" customHeight="1" x14ac:dyDescent="0.35"/>
    <row r="200" ht="14.15" customHeight="1" x14ac:dyDescent="0.35"/>
  </sheetData>
  <sheetProtection sheet="1" objects="1" scenarios="1"/>
  <mergeCells count="8">
    <mergeCell ref="D90:D91"/>
    <mergeCell ref="E90:E91"/>
    <mergeCell ref="D4:D5"/>
    <mergeCell ref="E4:E5"/>
    <mergeCell ref="D30:D31"/>
    <mergeCell ref="E30:E31"/>
    <mergeCell ref="D88:D89"/>
    <mergeCell ref="E88:E89"/>
  </mergeCells>
  <conditionalFormatting sqref="A1:A2">
    <cfRule type="containsText" dxfId="2" priority="1" operator="containsText" text="ERREUR">
      <formula>NOT(ISERROR(SEARCH("ERREUR",A1)))</formula>
    </cfRule>
  </conditionalFormatting>
  <pageMargins left="0.70866141732283472" right="0.70866141732283472" top="1.3385826771653544" bottom="0.74803149606299213" header="0.31496062992125984" footer="0.31496062992125984"/>
  <pageSetup orientation="portrait" r:id="rId1"/>
  <headerFooter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Synchroniser_Suivi_Budgetaire">
                <anchor moveWithCells="1" sizeWithCells="1">
                  <from>
                    <xdr:col>5</xdr:col>
                    <xdr:colOff>381000</xdr:colOff>
                    <xdr:row>1</xdr:row>
                    <xdr:rowOff>114300</xdr:rowOff>
                  </from>
                  <to>
                    <xdr:col>6</xdr:col>
                    <xdr:colOff>647700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91"/>
  <sheetViews>
    <sheetView view="pageLayout" zoomScaleNormal="100" workbookViewId="0"/>
  </sheetViews>
  <sheetFormatPr defaultColWidth="8.7265625" defaultRowHeight="14" x14ac:dyDescent="0.3"/>
  <cols>
    <col min="1" max="1" width="5" style="3" customWidth="1"/>
    <col min="2" max="2" width="2.453125" style="3" customWidth="1"/>
    <col min="3" max="3" width="29.7265625" style="1" customWidth="1"/>
    <col min="4" max="7" width="12.54296875" style="65" customWidth="1"/>
    <col min="8" max="16384" width="8.7265625" style="1"/>
  </cols>
  <sheetData>
    <row r="1" spans="1:7" ht="14.5" customHeight="1" x14ac:dyDescent="0.35">
      <c r="A1" s="17" t="s">
        <v>107</v>
      </c>
      <c r="B1" s="16"/>
      <c r="C1" s="16"/>
      <c r="D1" s="50"/>
      <c r="E1" s="50"/>
      <c r="F1" s="50"/>
      <c r="G1" s="64"/>
    </row>
    <row r="2" spans="1:7" ht="15.5" x14ac:dyDescent="0.35">
      <c r="A2" s="17" t="s">
        <v>118</v>
      </c>
      <c r="B2" s="16"/>
      <c r="C2" s="16"/>
      <c r="D2" s="50"/>
      <c r="E2" s="50"/>
      <c r="F2" s="50"/>
      <c r="G2" s="64"/>
    </row>
    <row r="3" spans="1:7" ht="14.5" thickBot="1" x14ac:dyDescent="0.35"/>
    <row r="4" spans="1:7" x14ac:dyDescent="0.3">
      <c r="D4" s="110" t="s">
        <v>108</v>
      </c>
      <c r="E4" s="110" t="s">
        <v>67</v>
      </c>
      <c r="F4" s="112" t="s">
        <v>90</v>
      </c>
      <c r="G4" s="112" t="s">
        <v>109</v>
      </c>
    </row>
    <row r="5" spans="1:7" ht="14.5" thickBot="1" x14ac:dyDescent="0.35">
      <c r="D5" s="111"/>
      <c r="E5" s="111"/>
      <c r="F5" s="113"/>
      <c r="G5" s="113"/>
    </row>
    <row r="6" spans="1:7" ht="15.5" x14ac:dyDescent="0.35">
      <c r="A6" s="4" t="s">
        <v>91</v>
      </c>
      <c r="D6" s="66"/>
      <c r="E6" s="66"/>
      <c r="F6" s="66"/>
      <c r="G6" s="66"/>
    </row>
    <row r="7" spans="1:7" ht="5.9" customHeight="1" x14ac:dyDescent="0.3">
      <c r="D7" s="67"/>
      <c r="E7" s="67"/>
      <c r="F7" s="67"/>
      <c r="G7" s="67"/>
    </row>
    <row r="8" spans="1:7" s="3" customFormat="1" x14ac:dyDescent="0.3">
      <c r="B8" s="9" t="s">
        <v>66</v>
      </c>
      <c r="C8" s="12"/>
      <c r="D8" s="68">
        <f>SUM(D9:D12)</f>
        <v>0</v>
      </c>
      <c r="E8" s="68">
        <f t="shared" ref="E8:F8" si="0">SUM(E9:E12)</f>
        <v>0</v>
      </c>
      <c r="F8" s="68">
        <f t="shared" si="0"/>
        <v>0</v>
      </c>
      <c r="G8" s="68">
        <f>SUM(G9:G12)</f>
        <v>0</v>
      </c>
    </row>
    <row r="9" spans="1:7" x14ac:dyDescent="0.3">
      <c r="C9" s="1" t="s">
        <v>69</v>
      </c>
      <c r="D9" s="69"/>
      <c r="E9" s="69"/>
      <c r="F9" s="69">
        <f>SUM(D9:E9)</f>
        <v>0</v>
      </c>
      <c r="G9" s="67"/>
    </row>
    <row r="10" spans="1:7" x14ac:dyDescent="0.3">
      <c r="C10" s="1" t="s">
        <v>74</v>
      </c>
      <c r="D10" s="69"/>
      <c r="E10" s="69"/>
      <c r="F10" s="69">
        <f t="shared" ref="F10:F12" si="1">SUM(D10:E10)</f>
        <v>0</v>
      </c>
      <c r="G10" s="70"/>
    </row>
    <row r="11" spans="1:7" x14ac:dyDescent="0.3">
      <c r="C11" s="1" t="s">
        <v>67</v>
      </c>
      <c r="D11" s="69"/>
      <c r="E11" s="69"/>
      <c r="F11" s="69">
        <f t="shared" si="1"/>
        <v>0</v>
      </c>
      <c r="G11" s="67"/>
    </row>
    <row r="12" spans="1:7" x14ac:dyDescent="0.3">
      <c r="C12" s="1" t="s">
        <v>92</v>
      </c>
      <c r="D12" s="67"/>
      <c r="E12" s="67"/>
      <c r="F12" s="67">
        <f t="shared" si="1"/>
        <v>0</v>
      </c>
      <c r="G12" s="70"/>
    </row>
    <row r="13" spans="1:7" s="3" customFormat="1" x14ac:dyDescent="0.3">
      <c r="B13" s="9" t="s">
        <v>51</v>
      </c>
      <c r="C13" s="12"/>
      <c r="D13" s="68">
        <f>SUM(D14:D16)</f>
        <v>0</v>
      </c>
      <c r="E13" s="68">
        <f t="shared" ref="E13:F13" si="2">SUM(E14:E16)</f>
        <v>0</v>
      </c>
      <c r="F13" s="68">
        <f t="shared" si="2"/>
        <v>0</v>
      </c>
      <c r="G13" s="68">
        <f>SUM(G14:G16)</f>
        <v>0</v>
      </c>
    </row>
    <row r="14" spans="1:7" x14ac:dyDescent="0.3">
      <c r="C14" s="1" t="s">
        <v>58</v>
      </c>
      <c r="D14" s="67"/>
      <c r="E14" s="67"/>
      <c r="F14" s="67">
        <f>SUM(D14:E14)</f>
        <v>0</v>
      </c>
      <c r="G14" s="70"/>
    </row>
    <row r="15" spans="1:7" x14ac:dyDescent="0.3">
      <c r="C15" s="1" t="s">
        <v>93</v>
      </c>
      <c r="D15" s="67"/>
      <c r="E15" s="67"/>
      <c r="F15" s="67">
        <f t="shared" ref="F15:F25" si="3">SUM(D15:E15)</f>
        <v>0</v>
      </c>
      <c r="G15" s="70"/>
    </row>
    <row r="16" spans="1:7" x14ac:dyDescent="0.3">
      <c r="C16" s="1" t="s">
        <v>52</v>
      </c>
      <c r="D16" s="67"/>
      <c r="E16" s="67"/>
      <c r="F16" s="67">
        <f t="shared" si="3"/>
        <v>0</v>
      </c>
      <c r="G16" s="70"/>
    </row>
    <row r="17" spans="1:7" s="3" customFormat="1" x14ac:dyDescent="0.3">
      <c r="B17" s="9" t="s">
        <v>27</v>
      </c>
      <c r="C17" s="12"/>
      <c r="D17" s="68">
        <f>SUM(D18:D20)</f>
        <v>0</v>
      </c>
      <c r="E17" s="68">
        <f>SUM(E18:E20)</f>
        <v>0</v>
      </c>
      <c r="F17" s="68">
        <f>SUM(F18)</f>
        <v>0</v>
      </c>
      <c r="G17" s="68">
        <f>SUM(G18:G20)</f>
        <v>0</v>
      </c>
    </row>
    <row r="18" spans="1:7" x14ac:dyDescent="0.3">
      <c r="C18" s="1" t="s">
        <v>43</v>
      </c>
      <c r="D18" s="69"/>
      <c r="E18" s="69"/>
      <c r="F18" s="69">
        <f>SUM(D18:E18)</f>
        <v>0</v>
      </c>
      <c r="G18" s="70"/>
    </row>
    <row r="19" spans="1:7" x14ac:dyDescent="0.3">
      <c r="C19" s="1" t="s">
        <v>94</v>
      </c>
      <c r="D19" s="69"/>
      <c r="E19" s="69"/>
      <c r="F19" s="69">
        <f t="shared" ref="F19:F20" si="4">SUM(D19:E19)</f>
        <v>0</v>
      </c>
      <c r="G19" s="70"/>
    </row>
    <row r="20" spans="1:7" x14ac:dyDescent="0.3">
      <c r="C20" s="1" t="s">
        <v>28</v>
      </c>
      <c r="D20" s="67"/>
      <c r="E20" s="67"/>
      <c r="F20" s="67">
        <f t="shared" si="4"/>
        <v>0</v>
      </c>
      <c r="G20" s="70"/>
    </row>
    <row r="21" spans="1:7" x14ac:dyDescent="0.3">
      <c r="B21" s="9" t="s">
        <v>32</v>
      </c>
      <c r="C21" s="10"/>
      <c r="D21" s="68">
        <f>SUM(D22:D25)</f>
        <v>0</v>
      </c>
      <c r="E21" s="68">
        <f>SUM(E22:E25)</f>
        <v>0</v>
      </c>
      <c r="F21" s="68">
        <f>SUM(F22:F25)</f>
        <v>0</v>
      </c>
      <c r="G21" s="68">
        <f>SUM(G22:G25)</f>
        <v>0</v>
      </c>
    </row>
    <row r="22" spans="1:7" x14ac:dyDescent="0.3">
      <c r="C22" s="1" t="s">
        <v>47</v>
      </c>
      <c r="D22" s="69"/>
      <c r="E22" s="69"/>
      <c r="F22" s="69">
        <f t="shared" si="3"/>
        <v>0</v>
      </c>
      <c r="G22" s="70"/>
    </row>
    <row r="23" spans="1:7" x14ac:dyDescent="0.3">
      <c r="C23" s="1" t="s">
        <v>44</v>
      </c>
      <c r="D23" s="67"/>
      <c r="E23" s="67"/>
      <c r="F23" s="67">
        <f t="shared" si="3"/>
        <v>0</v>
      </c>
      <c r="G23" s="70"/>
    </row>
    <row r="24" spans="1:7" x14ac:dyDescent="0.3">
      <c r="C24" s="1" t="s">
        <v>30</v>
      </c>
      <c r="D24" s="67"/>
      <c r="E24" s="67"/>
      <c r="F24" s="67">
        <f t="shared" si="3"/>
        <v>0</v>
      </c>
      <c r="G24" s="70"/>
    </row>
    <row r="25" spans="1:7" x14ac:dyDescent="0.3">
      <c r="C25" s="1" t="s">
        <v>52</v>
      </c>
      <c r="D25" s="67"/>
      <c r="E25" s="67"/>
      <c r="F25" s="67">
        <f t="shared" si="3"/>
        <v>0</v>
      </c>
      <c r="G25" s="70"/>
    </row>
    <row r="26" spans="1:7" ht="5.9" customHeight="1" thickBot="1" x14ac:dyDescent="0.35">
      <c r="D26" s="67"/>
      <c r="E26" s="67"/>
      <c r="F26" s="67"/>
      <c r="G26" s="67"/>
    </row>
    <row r="27" spans="1:7" s="13" customFormat="1" ht="17.149999999999999" customHeight="1" thickTop="1" thickBot="1" x14ac:dyDescent="0.4">
      <c r="A27" s="13" t="s">
        <v>95</v>
      </c>
      <c r="D27" s="71">
        <f>SUM(D8,D13,D17,D21)</f>
        <v>0</v>
      </c>
      <c r="E27" s="72">
        <f>SUM(E8,E13,E17,E21)</f>
        <v>0</v>
      </c>
      <c r="F27" s="72">
        <f>SUM(F8,F13,F17,F21)</f>
        <v>0</v>
      </c>
      <c r="G27" s="72">
        <f>SUM(G8,G13,G17,G21)</f>
        <v>0</v>
      </c>
    </row>
    <row r="28" spans="1:7" x14ac:dyDescent="0.3">
      <c r="D28" s="73"/>
      <c r="E28" s="73"/>
      <c r="F28" s="73"/>
      <c r="G28" s="73"/>
    </row>
    <row r="29" spans="1:7" ht="14.5" thickBot="1" x14ac:dyDescent="0.35"/>
    <row r="30" spans="1:7" x14ac:dyDescent="0.3">
      <c r="D30" s="110" t="str">
        <f>$D$4</f>
        <v>GÉGI</v>
      </c>
      <c r="E30" s="110" t="str">
        <f>$E$4</f>
        <v>IEEE</v>
      </c>
      <c r="F30" s="110" t="str">
        <f>$F$4</f>
        <v>Total prévu</v>
      </c>
      <c r="G30" s="112" t="str">
        <f>$G$4</f>
        <v>Exercice précédent</v>
      </c>
    </row>
    <row r="31" spans="1:7" ht="14.5" thickBot="1" x14ac:dyDescent="0.35">
      <c r="D31" s="111"/>
      <c r="E31" s="111"/>
      <c r="F31" s="111"/>
      <c r="G31" s="113"/>
    </row>
    <row r="32" spans="1:7" ht="15.5" x14ac:dyDescent="0.35">
      <c r="A32" s="4" t="s">
        <v>96</v>
      </c>
      <c r="D32" s="66"/>
      <c r="E32" s="66"/>
      <c r="F32" s="66"/>
      <c r="G32" s="66"/>
    </row>
    <row r="33" spans="2:7" ht="5.9" customHeight="1" x14ac:dyDescent="0.3">
      <c r="D33" s="67"/>
      <c r="E33" s="67"/>
      <c r="F33" s="67"/>
      <c r="G33" s="67"/>
    </row>
    <row r="34" spans="2:7" x14ac:dyDescent="0.3">
      <c r="B34" s="9" t="s">
        <v>59</v>
      </c>
      <c r="C34" s="10"/>
      <c r="D34" s="68">
        <f>SUM(D35:D38)</f>
        <v>0</v>
      </c>
      <c r="E34" s="68">
        <f>SUM(E35:E38)</f>
        <v>0</v>
      </c>
      <c r="F34" s="68">
        <f t="shared" ref="F34:G34" si="5">SUM(F35:F38)</f>
        <v>0</v>
      </c>
      <c r="G34" s="68">
        <f t="shared" si="5"/>
        <v>0</v>
      </c>
    </row>
    <row r="35" spans="2:7" x14ac:dyDescent="0.3">
      <c r="C35" s="1" t="s">
        <v>60</v>
      </c>
      <c r="D35" s="67"/>
      <c r="E35" s="67"/>
      <c r="F35" s="67">
        <f t="shared" ref="F35:F38" si="6">SUM(D35:E35)</f>
        <v>0</v>
      </c>
      <c r="G35" s="67"/>
    </row>
    <row r="36" spans="2:7" x14ac:dyDescent="0.3">
      <c r="C36" s="1" t="s">
        <v>77</v>
      </c>
      <c r="D36" s="67"/>
      <c r="E36" s="67"/>
      <c r="F36" s="67">
        <f t="shared" si="6"/>
        <v>0</v>
      </c>
      <c r="G36" s="67"/>
    </row>
    <row r="37" spans="2:7" x14ac:dyDescent="0.3">
      <c r="C37" s="1" t="s">
        <v>97</v>
      </c>
      <c r="D37" s="67"/>
      <c r="E37" s="67"/>
      <c r="F37" s="67">
        <f t="shared" si="6"/>
        <v>0</v>
      </c>
      <c r="G37" s="70"/>
    </row>
    <row r="38" spans="2:7" x14ac:dyDescent="0.3">
      <c r="C38" s="1" t="s">
        <v>52</v>
      </c>
      <c r="D38" s="67"/>
      <c r="E38" s="67"/>
      <c r="F38" s="67">
        <f t="shared" si="6"/>
        <v>0</v>
      </c>
      <c r="G38" s="67"/>
    </row>
    <row r="39" spans="2:7" x14ac:dyDescent="0.3">
      <c r="B39" s="9" t="s">
        <v>47</v>
      </c>
      <c r="C39" s="10"/>
      <c r="D39" s="68">
        <f>SUM(D40:D43)</f>
        <v>0</v>
      </c>
      <c r="E39" s="68">
        <f t="shared" ref="E39:G39" si="7">SUM(E40:E43)</f>
        <v>0</v>
      </c>
      <c r="F39" s="68">
        <f t="shared" si="7"/>
        <v>0</v>
      </c>
      <c r="G39" s="68">
        <f t="shared" si="7"/>
        <v>0</v>
      </c>
    </row>
    <row r="40" spans="2:7" x14ac:dyDescent="0.3">
      <c r="C40" s="1" t="s">
        <v>48</v>
      </c>
      <c r="D40" s="67"/>
      <c r="E40" s="67"/>
      <c r="F40" s="69">
        <f t="shared" ref="F40:F43" si="8">SUM(D40:E40)</f>
        <v>0</v>
      </c>
      <c r="G40" s="67"/>
    </row>
    <row r="41" spans="2:7" x14ac:dyDescent="0.3">
      <c r="C41" s="1" t="s">
        <v>49</v>
      </c>
      <c r="D41" s="67"/>
      <c r="E41" s="67"/>
      <c r="F41" s="69">
        <f t="shared" si="8"/>
        <v>0</v>
      </c>
      <c r="G41" s="67"/>
    </row>
    <row r="42" spans="2:7" x14ac:dyDescent="0.3">
      <c r="C42" s="1" t="s">
        <v>50</v>
      </c>
      <c r="D42" s="67"/>
      <c r="E42" s="67"/>
      <c r="F42" s="69">
        <f t="shared" si="8"/>
        <v>0</v>
      </c>
      <c r="G42" s="70"/>
    </row>
    <row r="43" spans="2:7" x14ac:dyDescent="0.3">
      <c r="C43" s="1" t="s">
        <v>52</v>
      </c>
      <c r="D43" s="67"/>
      <c r="E43" s="67"/>
      <c r="F43" s="69">
        <f t="shared" si="8"/>
        <v>0</v>
      </c>
      <c r="G43" s="67"/>
    </row>
    <row r="44" spans="2:7" x14ac:dyDescent="0.3">
      <c r="B44" s="9" t="s">
        <v>98</v>
      </c>
      <c r="C44" s="10"/>
      <c r="D44" s="68">
        <f>SUM(D45:D48)</f>
        <v>0</v>
      </c>
      <c r="E44" s="68">
        <f>SUM(E45:E48)</f>
        <v>0</v>
      </c>
      <c r="F44" s="68">
        <f>SUM(F45:F48)</f>
        <v>0</v>
      </c>
      <c r="G44" s="68">
        <f>SUM(G45:G48)</f>
        <v>0</v>
      </c>
    </row>
    <row r="45" spans="2:7" x14ac:dyDescent="0.3">
      <c r="C45" s="1" t="s">
        <v>99</v>
      </c>
      <c r="D45" s="67"/>
      <c r="E45" s="67"/>
      <c r="F45" s="67">
        <f t="shared" ref="F45:F48" si="9">SUM(D45:E45)</f>
        <v>0</v>
      </c>
      <c r="G45" s="67"/>
    </row>
    <row r="46" spans="2:7" x14ac:dyDescent="0.3">
      <c r="C46" s="1" t="s">
        <v>100</v>
      </c>
      <c r="D46" s="67"/>
      <c r="E46" s="67"/>
      <c r="F46" s="67">
        <f t="shared" si="9"/>
        <v>0</v>
      </c>
      <c r="G46" s="67"/>
    </row>
    <row r="47" spans="2:7" x14ac:dyDescent="0.3">
      <c r="C47" s="1" t="s">
        <v>101</v>
      </c>
      <c r="D47" s="67"/>
      <c r="E47" s="67"/>
      <c r="F47" s="67">
        <f t="shared" si="9"/>
        <v>0</v>
      </c>
      <c r="G47" s="67"/>
    </row>
    <row r="48" spans="2:7" x14ac:dyDescent="0.3">
      <c r="C48" s="1" t="s">
        <v>52</v>
      </c>
      <c r="D48" s="67"/>
      <c r="E48" s="67"/>
      <c r="F48" s="67">
        <f t="shared" si="9"/>
        <v>0</v>
      </c>
      <c r="G48" s="67"/>
    </row>
    <row r="49" spans="2:7" x14ac:dyDescent="0.3">
      <c r="B49" s="9" t="s">
        <v>71</v>
      </c>
      <c r="C49" s="10"/>
      <c r="D49" s="68">
        <f>SUM(D50:D56)</f>
        <v>0</v>
      </c>
      <c r="E49" s="68">
        <f>SUM(E50:E56)</f>
        <v>0</v>
      </c>
      <c r="F49" s="68">
        <f>SUM(F50:F56)</f>
        <v>0</v>
      </c>
      <c r="G49" s="68">
        <f>SUM(G50:G56)</f>
        <v>0</v>
      </c>
    </row>
    <row r="50" spans="2:7" x14ac:dyDescent="0.3">
      <c r="C50" s="1" t="s">
        <v>72</v>
      </c>
      <c r="D50" s="67"/>
      <c r="E50" s="67"/>
      <c r="F50" s="67">
        <f t="shared" ref="F50:F56" si="10">SUM(D50:E50)</f>
        <v>0</v>
      </c>
      <c r="G50" s="70"/>
    </row>
    <row r="51" spans="2:7" x14ac:dyDescent="0.3">
      <c r="C51" s="1" t="s">
        <v>76</v>
      </c>
      <c r="D51" s="67"/>
      <c r="E51" s="67"/>
      <c r="F51" s="67">
        <f t="shared" si="10"/>
        <v>0</v>
      </c>
      <c r="G51" s="70"/>
    </row>
    <row r="52" spans="2:7" x14ac:dyDescent="0.3">
      <c r="C52" s="1" t="s">
        <v>30</v>
      </c>
      <c r="D52" s="67"/>
      <c r="E52" s="67"/>
      <c r="F52" s="67">
        <f t="shared" si="10"/>
        <v>0</v>
      </c>
      <c r="G52" s="70"/>
    </row>
    <row r="53" spans="2:7" x14ac:dyDescent="0.3">
      <c r="C53" s="1" t="s">
        <v>62</v>
      </c>
      <c r="D53" s="67"/>
      <c r="E53" s="67"/>
      <c r="F53" s="67">
        <f t="shared" si="10"/>
        <v>0</v>
      </c>
      <c r="G53" s="70"/>
    </row>
    <row r="54" spans="2:7" x14ac:dyDescent="0.3">
      <c r="C54" s="1" t="s">
        <v>102</v>
      </c>
      <c r="D54" s="67"/>
      <c r="E54" s="67"/>
      <c r="F54" s="67">
        <f t="shared" si="10"/>
        <v>0</v>
      </c>
      <c r="G54" s="70"/>
    </row>
    <row r="55" spans="2:7" x14ac:dyDescent="0.3">
      <c r="C55" s="1" t="s">
        <v>103</v>
      </c>
      <c r="D55" s="67"/>
      <c r="E55" s="67"/>
      <c r="F55" s="67">
        <f t="shared" si="10"/>
        <v>0</v>
      </c>
      <c r="G55" s="70"/>
    </row>
    <row r="56" spans="2:7" x14ac:dyDescent="0.3">
      <c r="C56" s="1" t="s">
        <v>52</v>
      </c>
      <c r="D56" s="67"/>
      <c r="E56" s="67"/>
      <c r="F56" s="67">
        <f t="shared" si="10"/>
        <v>0</v>
      </c>
      <c r="G56" s="70"/>
    </row>
    <row r="57" spans="2:7" x14ac:dyDescent="0.3">
      <c r="B57" s="9" t="s">
        <v>29</v>
      </c>
      <c r="C57" s="10"/>
      <c r="D57" s="68">
        <f>SUM(D58:D60)</f>
        <v>0</v>
      </c>
      <c r="E57" s="68">
        <f t="shared" ref="E57:G57" si="11">SUM(E58:E60)</f>
        <v>0</v>
      </c>
      <c r="F57" s="68">
        <f t="shared" si="11"/>
        <v>0</v>
      </c>
      <c r="G57" s="68">
        <f t="shared" si="11"/>
        <v>0</v>
      </c>
    </row>
    <row r="58" spans="2:7" x14ac:dyDescent="0.3">
      <c r="C58" s="1" t="s">
        <v>40</v>
      </c>
      <c r="D58" s="69"/>
      <c r="E58" s="69"/>
      <c r="F58" s="67">
        <f t="shared" ref="F58:F60" si="12">SUM(D58:E58)</f>
        <v>0</v>
      </c>
      <c r="G58" s="67"/>
    </row>
    <row r="59" spans="2:7" x14ac:dyDescent="0.3">
      <c r="C59" s="1" t="s">
        <v>30</v>
      </c>
      <c r="D59" s="67"/>
      <c r="E59" s="67"/>
      <c r="F59" s="67">
        <f t="shared" si="12"/>
        <v>0</v>
      </c>
      <c r="G59" s="70"/>
    </row>
    <row r="60" spans="2:7" x14ac:dyDescent="0.3">
      <c r="C60" s="1" t="s">
        <v>52</v>
      </c>
      <c r="D60" s="67"/>
      <c r="E60" s="67"/>
      <c r="F60" s="67">
        <f t="shared" si="12"/>
        <v>0</v>
      </c>
      <c r="G60" s="67"/>
    </row>
    <row r="61" spans="2:7" x14ac:dyDescent="0.3">
      <c r="B61" s="9" t="s">
        <v>53</v>
      </c>
      <c r="C61" s="10"/>
      <c r="D61" s="68">
        <f>SUM(D62:D63)</f>
        <v>0</v>
      </c>
      <c r="E61" s="68">
        <f t="shared" ref="E61:G61" si="13">SUM(E62:E63)</f>
        <v>0</v>
      </c>
      <c r="F61" s="68">
        <f t="shared" si="13"/>
        <v>0</v>
      </c>
      <c r="G61" s="68">
        <f t="shared" si="13"/>
        <v>0</v>
      </c>
    </row>
    <row r="62" spans="2:7" x14ac:dyDescent="0.3">
      <c r="C62" s="1" t="s">
        <v>70</v>
      </c>
      <c r="D62" s="69"/>
      <c r="E62" s="69"/>
      <c r="F62" s="74">
        <f t="shared" ref="F62" si="14">SUM(D62:E62)</f>
        <v>0</v>
      </c>
      <c r="G62" s="67"/>
    </row>
    <row r="63" spans="2:7" x14ac:dyDescent="0.3">
      <c r="C63" s="1" t="s">
        <v>54</v>
      </c>
      <c r="D63" s="67"/>
      <c r="E63" s="67"/>
      <c r="F63" s="67">
        <f t="shared" ref="F63" si="15">SUM(D63:E63)</f>
        <v>0</v>
      </c>
      <c r="G63" s="70"/>
    </row>
    <row r="64" spans="2:7" x14ac:dyDescent="0.3">
      <c r="B64" s="9" t="s">
        <v>41</v>
      </c>
      <c r="C64" s="10"/>
      <c r="D64" s="68">
        <f>SUM(D65:D68)</f>
        <v>0</v>
      </c>
      <c r="E64" s="68">
        <f t="shared" ref="E64:G64" si="16">SUM(E65:E68)</f>
        <v>0</v>
      </c>
      <c r="F64" s="68">
        <f t="shared" si="16"/>
        <v>0</v>
      </c>
      <c r="G64" s="68">
        <f t="shared" si="16"/>
        <v>0</v>
      </c>
    </row>
    <row r="65" spans="2:7" x14ac:dyDescent="0.3">
      <c r="C65" s="1" t="s">
        <v>42</v>
      </c>
      <c r="D65" s="67"/>
      <c r="E65" s="67"/>
      <c r="F65" s="67">
        <f t="shared" ref="F65:F68" si="17">SUM(D65:E65)</f>
        <v>0</v>
      </c>
      <c r="G65" s="67"/>
    </row>
    <row r="66" spans="2:7" x14ac:dyDescent="0.3">
      <c r="C66" s="1" t="s">
        <v>104</v>
      </c>
      <c r="D66" s="67"/>
      <c r="E66" s="67"/>
      <c r="F66" s="67">
        <f t="shared" si="17"/>
        <v>0</v>
      </c>
      <c r="G66" s="70"/>
    </row>
    <row r="67" spans="2:7" x14ac:dyDescent="0.3">
      <c r="C67" s="1" t="s">
        <v>105</v>
      </c>
      <c r="D67" s="67"/>
      <c r="E67" s="67"/>
      <c r="F67" s="67">
        <f t="shared" si="17"/>
        <v>0</v>
      </c>
      <c r="G67" s="70"/>
    </row>
    <row r="68" spans="2:7" x14ac:dyDescent="0.3">
      <c r="C68" s="1" t="s">
        <v>52</v>
      </c>
      <c r="D68" s="67"/>
      <c r="E68" s="67"/>
      <c r="F68" s="67">
        <f t="shared" si="17"/>
        <v>0</v>
      </c>
      <c r="G68" s="67"/>
    </row>
    <row r="69" spans="2:7" x14ac:dyDescent="0.3">
      <c r="B69" s="9" t="s">
        <v>63</v>
      </c>
      <c r="C69" s="10"/>
      <c r="D69" s="68">
        <f>SUM(D70:D72)</f>
        <v>0</v>
      </c>
      <c r="E69" s="68">
        <f t="shared" ref="E69:G69" si="18">SUM(E70:E72)</f>
        <v>0</v>
      </c>
      <c r="F69" s="68">
        <f t="shared" si="18"/>
        <v>0</v>
      </c>
      <c r="G69" s="68">
        <f t="shared" si="18"/>
        <v>0</v>
      </c>
    </row>
    <row r="70" spans="2:7" x14ac:dyDescent="0.3">
      <c r="C70" s="1" t="s">
        <v>64</v>
      </c>
      <c r="D70" s="69"/>
      <c r="E70" s="69"/>
      <c r="F70" s="69">
        <f t="shared" ref="F70:F72" si="19">SUM(D70:E70)</f>
        <v>0</v>
      </c>
      <c r="G70" s="67"/>
    </row>
    <row r="71" spans="2:7" x14ac:dyDescent="0.3">
      <c r="C71" s="1" t="s">
        <v>62</v>
      </c>
      <c r="D71" s="67"/>
      <c r="E71" s="67"/>
      <c r="F71" s="67">
        <f t="shared" si="19"/>
        <v>0</v>
      </c>
      <c r="G71" s="67"/>
    </row>
    <row r="72" spans="2:7" x14ac:dyDescent="0.3">
      <c r="C72" s="1" t="s">
        <v>52</v>
      </c>
      <c r="D72" s="67"/>
      <c r="E72" s="67"/>
      <c r="F72" s="67">
        <f t="shared" si="19"/>
        <v>0</v>
      </c>
      <c r="G72" s="67"/>
    </row>
    <row r="73" spans="2:7" x14ac:dyDescent="0.3">
      <c r="B73" s="9" t="s">
        <v>61</v>
      </c>
      <c r="C73" s="10"/>
      <c r="D73" s="68">
        <f>SUM(D74:D77)</f>
        <v>0</v>
      </c>
      <c r="E73" s="68">
        <f t="shared" ref="E73:G73" si="20">SUM(E74:E77)</f>
        <v>0</v>
      </c>
      <c r="F73" s="68">
        <f t="shared" si="20"/>
        <v>0</v>
      </c>
      <c r="G73" s="68">
        <f t="shared" si="20"/>
        <v>0</v>
      </c>
    </row>
    <row r="74" spans="2:7" x14ac:dyDescent="0.3">
      <c r="C74" s="1" t="s">
        <v>72</v>
      </c>
      <c r="D74" s="67"/>
      <c r="E74" s="67"/>
      <c r="F74" s="67">
        <f t="shared" ref="F74:F77" si="21">SUM(D74:E74)</f>
        <v>0</v>
      </c>
      <c r="G74" s="67"/>
    </row>
    <row r="75" spans="2:7" x14ac:dyDescent="0.3">
      <c r="C75" s="1" t="s">
        <v>62</v>
      </c>
      <c r="D75" s="69"/>
      <c r="E75" s="69"/>
      <c r="F75" s="69">
        <f t="shared" si="21"/>
        <v>0</v>
      </c>
      <c r="G75" s="67"/>
    </row>
    <row r="76" spans="2:7" x14ac:dyDescent="0.3">
      <c r="C76" s="1" t="s">
        <v>93</v>
      </c>
      <c r="D76" s="69"/>
      <c r="E76" s="67"/>
      <c r="F76" s="67">
        <f t="shared" si="21"/>
        <v>0</v>
      </c>
      <c r="G76" s="70"/>
    </row>
    <row r="77" spans="2:7" x14ac:dyDescent="0.3">
      <c r="C77" s="1" t="s">
        <v>52</v>
      </c>
      <c r="D77" s="67"/>
      <c r="E77" s="67"/>
      <c r="F77" s="67">
        <f t="shared" si="21"/>
        <v>0</v>
      </c>
      <c r="G77" s="67"/>
    </row>
    <row r="78" spans="2:7" x14ac:dyDescent="0.3">
      <c r="B78" s="9" t="s">
        <v>45</v>
      </c>
      <c r="C78" s="10"/>
      <c r="D78" s="68">
        <f>SUM(D79:D83)</f>
        <v>0</v>
      </c>
      <c r="E78" s="68">
        <f>SUM(E79:E83)</f>
        <v>0</v>
      </c>
      <c r="F78" s="68">
        <f t="shared" ref="F78" si="22">SUM(F79:F83)</f>
        <v>0</v>
      </c>
      <c r="G78" s="68">
        <f>SUM(G79:G83)</f>
        <v>0</v>
      </c>
    </row>
    <row r="79" spans="2:7" x14ac:dyDescent="0.3">
      <c r="C79" s="1" t="s">
        <v>46</v>
      </c>
      <c r="D79" s="67"/>
      <c r="E79" s="69"/>
      <c r="F79" s="67">
        <f>SUM(D79:E79)</f>
        <v>0</v>
      </c>
      <c r="G79" s="67"/>
    </row>
    <row r="80" spans="2:7" x14ac:dyDescent="0.3">
      <c r="C80" s="1" t="s">
        <v>73</v>
      </c>
      <c r="D80" s="67"/>
      <c r="E80" s="69"/>
      <c r="F80" s="67">
        <f>SUM(D80:E80)</f>
        <v>0</v>
      </c>
      <c r="G80" s="67"/>
    </row>
    <row r="81" spans="1:7" x14ac:dyDescent="0.3">
      <c r="C81" s="1" t="s">
        <v>57</v>
      </c>
      <c r="D81" s="67"/>
      <c r="E81" s="69"/>
      <c r="F81" s="67">
        <f>SUM(D81:E81)</f>
        <v>0</v>
      </c>
      <c r="G81" s="67"/>
    </row>
    <row r="82" spans="1:7" x14ac:dyDescent="0.3">
      <c r="C82" s="1" t="s">
        <v>55</v>
      </c>
      <c r="D82" s="67"/>
      <c r="E82" s="69"/>
      <c r="F82" s="67">
        <f>SUM(D82:E82)</f>
        <v>0</v>
      </c>
      <c r="G82" s="67"/>
    </row>
    <row r="83" spans="1:7" x14ac:dyDescent="0.3">
      <c r="C83" s="1" t="s">
        <v>52</v>
      </c>
      <c r="D83" s="67"/>
      <c r="E83" s="69"/>
      <c r="F83" s="67">
        <f>SUM(D83:E83)</f>
        <v>0</v>
      </c>
      <c r="G83" s="67"/>
    </row>
    <row r="84" spans="1:7" ht="5.9" customHeight="1" thickBot="1" x14ac:dyDescent="0.35">
      <c r="D84" s="67"/>
      <c r="E84" s="67"/>
      <c r="F84" s="67"/>
      <c r="G84" s="67"/>
    </row>
    <row r="85" spans="1:7" s="14" customFormat="1" ht="17.149999999999999" customHeight="1" thickTop="1" thickBot="1" x14ac:dyDescent="0.4">
      <c r="A85" s="13" t="s">
        <v>106</v>
      </c>
      <c r="B85" s="13"/>
      <c r="D85" s="72">
        <f>SUM(D34,D39,D44,D49,D57,D61,D64,D69,D73,D78)</f>
        <v>0</v>
      </c>
      <c r="E85" s="72">
        <f>SUM(E34,E39,E44,E49,E57,E61,E64,E69,E73,E78)</f>
        <v>0</v>
      </c>
      <c r="F85" s="72">
        <f>SUM(F34,F39,F44,F49,F57,F61,F64,F69,F73,F78)</f>
        <v>0</v>
      </c>
      <c r="G85" s="72">
        <f>SUM(G34,G39,G44,G49,G57,G61,G64,G69,G73,G78)</f>
        <v>0</v>
      </c>
    </row>
    <row r="87" spans="1:7" ht="14.5" thickBot="1" x14ac:dyDescent="0.35"/>
    <row r="88" spans="1:7" x14ac:dyDescent="0.3">
      <c r="D88" s="110" t="str">
        <f>$D$4</f>
        <v>GÉGI</v>
      </c>
      <c r="E88" s="110" t="str">
        <f>$E$4</f>
        <v>IEEE</v>
      </c>
      <c r="F88" s="110" t="str">
        <f>$F$4</f>
        <v>Total prévu</v>
      </c>
      <c r="G88" s="112" t="str">
        <f>$G$4</f>
        <v>Exercice précédent</v>
      </c>
    </row>
    <row r="89" spans="1:7" ht="14.5" thickBot="1" x14ac:dyDescent="0.35">
      <c r="D89" s="111"/>
      <c r="E89" s="111"/>
      <c r="F89" s="111"/>
      <c r="G89" s="113"/>
    </row>
    <row r="90" spans="1:7" x14ac:dyDescent="0.3">
      <c r="A90" s="3" t="s">
        <v>6</v>
      </c>
      <c r="D90" s="108">
        <f>D27-D85</f>
        <v>0</v>
      </c>
      <c r="E90" s="108">
        <f>E27-E85</f>
        <v>0</v>
      </c>
      <c r="F90" s="108">
        <f>F27-F85</f>
        <v>0</v>
      </c>
      <c r="G90" s="108">
        <f>G27-G85</f>
        <v>0</v>
      </c>
    </row>
    <row r="91" spans="1:7" ht="14.5" thickBot="1" x14ac:dyDescent="0.35">
      <c r="A91" s="3" t="s">
        <v>7</v>
      </c>
      <c r="D91" s="109"/>
      <c r="E91" s="109"/>
      <c r="F91" s="109"/>
      <c r="G91" s="109"/>
    </row>
  </sheetData>
  <sheetProtection sheet="1" objects="1" scenarios="1" insertRows="0" deleteRows="0"/>
  <mergeCells count="16">
    <mergeCell ref="D90:D91"/>
    <mergeCell ref="E90:E91"/>
    <mergeCell ref="F90:F91"/>
    <mergeCell ref="G90:G91"/>
    <mergeCell ref="D4:D5"/>
    <mergeCell ref="E4:E5"/>
    <mergeCell ref="F4:F5"/>
    <mergeCell ref="G4:G5"/>
    <mergeCell ref="D88:D89"/>
    <mergeCell ref="E88:E89"/>
    <mergeCell ref="F88:F89"/>
    <mergeCell ref="G88:G89"/>
    <mergeCell ref="D30:D31"/>
    <mergeCell ref="E30:E31"/>
    <mergeCell ref="F30:F31"/>
    <mergeCell ref="G30:G31"/>
  </mergeCells>
  <phoneticPr fontId="6" type="noConversion"/>
  <pageMargins left="0.70866141732283472" right="0.70866141732283472" top="1.3385826771653544" bottom="0.74803149606299213" header="0.31496062992125984" footer="0.31496062992125984"/>
  <pageSetup orientation="portrait" r:id="rId1"/>
  <headerFooter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AA35-699A-4E00-AA76-36D27FF22EC7}">
  <sheetPr codeName="Sheet9"/>
  <dimension ref="A1:G200"/>
  <sheetViews>
    <sheetView view="pageLayout" zoomScaleNormal="100" workbookViewId="0"/>
  </sheetViews>
  <sheetFormatPr defaultColWidth="8.7265625" defaultRowHeight="14.5" x14ac:dyDescent="0.35"/>
  <cols>
    <col min="1" max="1" width="5" style="87" customWidth="1"/>
    <col min="2" max="2" width="2.453125" style="87" customWidth="1"/>
    <col min="3" max="3" width="29.7265625" style="87" customWidth="1"/>
    <col min="4" max="7" width="12.54296875" style="87" customWidth="1"/>
    <col min="8" max="8" width="5" style="87" customWidth="1"/>
    <col min="9" max="16384" width="8.7265625" style="87"/>
  </cols>
  <sheetData>
    <row r="1" spans="1:7" ht="14.5" customHeight="1" x14ac:dyDescent="0.35">
      <c r="A1" s="85" t="s">
        <v>110</v>
      </c>
      <c r="B1" s="86"/>
      <c r="C1" s="86"/>
      <c r="D1" s="86"/>
      <c r="E1" s="86"/>
      <c r="F1" s="86"/>
      <c r="G1" s="86"/>
    </row>
    <row r="2" spans="1:7" ht="15.65" customHeight="1" x14ac:dyDescent="0.35">
      <c r="A2" s="85" t="s">
        <v>117</v>
      </c>
      <c r="B2" s="86"/>
      <c r="C2" s="86"/>
      <c r="D2" s="86"/>
      <c r="E2" s="86"/>
      <c r="F2" s="86"/>
      <c r="G2" s="86"/>
    </row>
    <row r="3" spans="1:7" ht="14.5" customHeight="1" thickBot="1" x14ac:dyDescent="0.4"/>
    <row r="4" spans="1:7" ht="14" customHeight="1" x14ac:dyDescent="0.35">
      <c r="A4" s="88"/>
      <c r="B4" s="88"/>
      <c r="C4" s="89"/>
      <c r="D4" s="116" t="s">
        <v>90</v>
      </c>
      <c r="E4" s="118" t="s">
        <v>120</v>
      </c>
    </row>
    <row r="5" spans="1:7" ht="14.5" customHeight="1" thickBot="1" x14ac:dyDescent="0.4">
      <c r="A5" s="88"/>
      <c r="B5" s="88"/>
      <c r="C5" s="89"/>
      <c r="D5" s="117"/>
      <c r="E5" s="119"/>
    </row>
    <row r="6" spans="1:7" ht="15.5" customHeight="1" x14ac:dyDescent="0.35">
      <c r="A6" s="90" t="s">
        <v>91</v>
      </c>
      <c r="B6" s="88"/>
      <c r="C6" s="89"/>
      <c r="D6" s="75"/>
      <c r="E6" s="75"/>
    </row>
    <row r="7" spans="1:7" ht="5.9" customHeight="1" x14ac:dyDescent="0.35">
      <c r="A7" s="88"/>
      <c r="B7" s="88"/>
      <c r="C7" s="89"/>
      <c r="D7" s="69"/>
      <c r="E7" s="69"/>
    </row>
    <row r="8" spans="1:7" ht="14" customHeight="1" x14ac:dyDescent="0.35">
      <c r="A8" s="88"/>
      <c r="B8" s="91" t="s">
        <v>66</v>
      </c>
      <c r="C8" s="92"/>
      <c r="D8" s="76">
        <f>SUM(D9:D12)</f>
        <v>0</v>
      </c>
      <c r="E8" s="76">
        <v>0</v>
      </c>
    </row>
    <row r="9" spans="1:7" ht="14" hidden="1" customHeight="1" x14ac:dyDescent="0.35">
      <c r="A9" s="88"/>
      <c r="B9" s="88"/>
      <c r="C9" s="89" t="s">
        <v>69</v>
      </c>
      <c r="D9" s="69"/>
      <c r="E9" s="69">
        <v>0</v>
      </c>
    </row>
    <row r="10" spans="1:7" ht="14" hidden="1" customHeight="1" x14ac:dyDescent="0.35">
      <c r="A10" s="88"/>
      <c r="B10" s="88"/>
      <c r="C10" s="89" t="s">
        <v>74</v>
      </c>
      <c r="D10" s="69"/>
      <c r="E10" s="69">
        <v>0</v>
      </c>
    </row>
    <row r="11" spans="1:7" ht="14" hidden="1" customHeight="1" x14ac:dyDescent="0.35">
      <c r="A11" s="88"/>
      <c r="B11" s="88"/>
      <c r="C11" s="89" t="s">
        <v>67</v>
      </c>
      <c r="D11" s="69"/>
      <c r="E11" s="69">
        <v>0</v>
      </c>
    </row>
    <row r="12" spans="1:7" ht="14" hidden="1" customHeight="1" x14ac:dyDescent="0.35">
      <c r="A12" s="88"/>
      <c r="B12" s="88"/>
      <c r="C12" s="89" t="s">
        <v>92</v>
      </c>
      <c r="D12" s="69"/>
      <c r="E12" s="69">
        <v>0</v>
      </c>
    </row>
    <row r="13" spans="1:7" ht="14" customHeight="1" x14ac:dyDescent="0.35">
      <c r="A13" s="88"/>
      <c r="B13" s="91" t="s">
        <v>51</v>
      </c>
      <c r="C13" s="92"/>
      <c r="D13" s="76">
        <f>SUM(D14:D16)</f>
        <v>0</v>
      </c>
      <c r="E13" s="76">
        <v>0</v>
      </c>
    </row>
    <row r="14" spans="1:7" ht="14" hidden="1" customHeight="1" x14ac:dyDescent="0.35">
      <c r="A14" s="88"/>
      <c r="B14" s="88"/>
      <c r="C14" s="89" t="s">
        <v>58</v>
      </c>
      <c r="D14" s="69"/>
      <c r="E14" s="69">
        <v>0</v>
      </c>
    </row>
    <row r="15" spans="1:7" ht="14" hidden="1" customHeight="1" x14ac:dyDescent="0.35">
      <c r="A15" s="88"/>
      <c r="B15" s="88"/>
      <c r="C15" s="89" t="s">
        <v>93</v>
      </c>
      <c r="D15" s="69"/>
      <c r="E15" s="69">
        <v>0</v>
      </c>
    </row>
    <row r="16" spans="1:7" ht="14" hidden="1" customHeight="1" x14ac:dyDescent="0.35">
      <c r="A16" s="88"/>
      <c r="B16" s="88"/>
      <c r="C16" s="89" t="s">
        <v>52</v>
      </c>
      <c r="D16" s="69"/>
      <c r="E16" s="69">
        <v>0</v>
      </c>
    </row>
    <row r="17" spans="1:5" ht="14" customHeight="1" x14ac:dyDescent="0.35">
      <c r="A17" s="88"/>
      <c r="B17" s="91" t="s">
        <v>27</v>
      </c>
      <c r="C17" s="92"/>
      <c r="D17" s="76">
        <f>SUM(D18:D20)</f>
        <v>0</v>
      </c>
      <c r="E17" s="76">
        <v>0</v>
      </c>
    </row>
    <row r="18" spans="1:5" ht="14" hidden="1" customHeight="1" x14ac:dyDescent="0.35">
      <c r="A18" s="88"/>
      <c r="B18" s="88"/>
      <c r="C18" s="89" t="s">
        <v>43</v>
      </c>
      <c r="D18" s="69"/>
      <c r="E18" s="69">
        <v>0</v>
      </c>
    </row>
    <row r="19" spans="1:5" ht="14" hidden="1" customHeight="1" x14ac:dyDescent="0.35">
      <c r="A19" s="88"/>
      <c r="B19" s="88"/>
      <c r="C19" s="89" t="s">
        <v>94</v>
      </c>
      <c r="D19" s="69"/>
      <c r="E19" s="69">
        <v>0</v>
      </c>
    </row>
    <row r="20" spans="1:5" ht="14" hidden="1" customHeight="1" x14ac:dyDescent="0.35">
      <c r="A20" s="88"/>
      <c r="B20" s="88"/>
      <c r="C20" s="89" t="s">
        <v>28</v>
      </c>
      <c r="D20" s="69"/>
      <c r="E20" s="69">
        <v>0</v>
      </c>
    </row>
    <row r="21" spans="1:5" ht="14" customHeight="1" x14ac:dyDescent="0.35">
      <c r="A21" s="88"/>
      <c r="B21" s="91" t="s">
        <v>32</v>
      </c>
      <c r="C21" s="93"/>
      <c r="D21" s="76">
        <f>SUM(D22:D25)</f>
        <v>0</v>
      </c>
      <c r="E21" s="76">
        <v>0</v>
      </c>
    </row>
    <row r="22" spans="1:5" ht="14" hidden="1" customHeight="1" x14ac:dyDescent="0.35">
      <c r="A22" s="88"/>
      <c r="B22" s="88"/>
      <c r="C22" s="89" t="s">
        <v>47</v>
      </c>
      <c r="D22" s="69"/>
      <c r="E22" s="69">
        <v>0</v>
      </c>
    </row>
    <row r="23" spans="1:5" ht="14" hidden="1" customHeight="1" x14ac:dyDescent="0.35">
      <c r="A23" s="88"/>
      <c r="B23" s="88"/>
      <c r="C23" s="89" t="s">
        <v>44</v>
      </c>
      <c r="D23" s="69"/>
      <c r="E23" s="69">
        <v>0</v>
      </c>
    </row>
    <row r="24" spans="1:5" ht="14" hidden="1" customHeight="1" x14ac:dyDescent="0.35">
      <c r="A24" s="88"/>
      <c r="B24" s="88"/>
      <c r="C24" s="89" t="s">
        <v>30</v>
      </c>
      <c r="D24" s="69"/>
      <c r="E24" s="69">
        <v>0</v>
      </c>
    </row>
    <row r="25" spans="1:5" ht="14" hidden="1" customHeight="1" x14ac:dyDescent="0.35">
      <c r="A25" s="88"/>
      <c r="B25" s="88"/>
      <c r="C25" s="89" t="s">
        <v>52</v>
      </c>
      <c r="D25" s="69"/>
      <c r="E25" s="69">
        <v>0</v>
      </c>
    </row>
    <row r="26" spans="1:5" ht="5.9" customHeight="1" thickBot="1" x14ac:dyDescent="0.4">
      <c r="A26" s="88"/>
      <c r="B26" s="88"/>
      <c r="C26" s="89"/>
      <c r="D26" s="69"/>
      <c r="E26" s="69"/>
    </row>
    <row r="27" spans="1:5" ht="17.25" customHeight="1" thickTop="1" thickBot="1" x14ac:dyDescent="0.4">
      <c r="A27" s="94" t="s">
        <v>95</v>
      </c>
      <c r="B27" s="94"/>
      <c r="C27" s="94"/>
      <c r="D27" s="77"/>
      <c r="E27" s="78">
        <v>0</v>
      </c>
    </row>
    <row r="28" spans="1:5" ht="14" customHeight="1" x14ac:dyDescent="0.35">
      <c r="A28" s="88"/>
      <c r="B28" s="88"/>
      <c r="C28" s="89"/>
      <c r="D28" s="79"/>
      <c r="E28" s="79"/>
    </row>
    <row r="29" spans="1:5" ht="14.5" customHeight="1" thickBot="1" x14ac:dyDescent="0.4">
      <c r="A29" s="88"/>
      <c r="B29" s="88"/>
      <c r="C29" s="89"/>
      <c r="D29" s="80"/>
      <c r="E29" s="80"/>
    </row>
    <row r="30" spans="1:5" ht="14" customHeight="1" x14ac:dyDescent="0.35">
      <c r="A30" s="88"/>
      <c r="B30" s="88"/>
      <c r="C30" s="89"/>
      <c r="D30" s="116" t="s">
        <v>90</v>
      </c>
      <c r="E30" s="118" t="s">
        <v>120</v>
      </c>
    </row>
    <row r="31" spans="1:5" ht="14.5" customHeight="1" thickBot="1" x14ac:dyDescent="0.4">
      <c r="A31" s="88"/>
      <c r="B31" s="88"/>
      <c r="C31" s="89"/>
      <c r="D31" s="117"/>
      <c r="E31" s="119"/>
    </row>
    <row r="32" spans="1:5" ht="15.5" customHeight="1" x14ac:dyDescent="0.35">
      <c r="A32" s="90" t="s">
        <v>96</v>
      </c>
      <c r="B32" s="88"/>
      <c r="C32" s="89"/>
      <c r="D32" s="75"/>
      <c r="E32" s="75"/>
    </row>
    <row r="33" spans="1:5" ht="5.9" customHeight="1" x14ac:dyDescent="0.35">
      <c r="A33" s="88"/>
      <c r="B33" s="88"/>
      <c r="C33" s="89"/>
      <c r="D33" s="69"/>
      <c r="E33" s="69"/>
    </row>
    <row r="34" spans="1:5" ht="14" customHeight="1" x14ac:dyDescent="0.35">
      <c r="A34" s="88"/>
      <c r="B34" s="91" t="s">
        <v>59</v>
      </c>
      <c r="C34" s="93"/>
      <c r="D34" s="76">
        <f>SUM(D35:D38)</f>
        <v>0</v>
      </c>
      <c r="E34" s="76">
        <v>0</v>
      </c>
    </row>
    <row r="35" spans="1:5" ht="14" hidden="1" customHeight="1" x14ac:dyDescent="0.35">
      <c r="A35" s="88"/>
      <c r="B35" s="88"/>
      <c r="C35" s="89" t="s">
        <v>60</v>
      </c>
      <c r="D35" s="69"/>
      <c r="E35" s="69">
        <v>0</v>
      </c>
    </row>
    <row r="36" spans="1:5" ht="14" hidden="1" customHeight="1" x14ac:dyDescent="0.35">
      <c r="A36" s="88"/>
      <c r="B36" s="88"/>
      <c r="C36" s="89" t="s">
        <v>77</v>
      </c>
      <c r="D36" s="69"/>
      <c r="E36" s="69">
        <v>0</v>
      </c>
    </row>
    <row r="37" spans="1:5" ht="14" hidden="1" customHeight="1" x14ac:dyDescent="0.35">
      <c r="A37" s="88"/>
      <c r="B37" s="88"/>
      <c r="C37" s="89" t="s">
        <v>97</v>
      </c>
      <c r="D37" s="69"/>
      <c r="E37" s="69">
        <v>0</v>
      </c>
    </row>
    <row r="38" spans="1:5" ht="14" hidden="1" customHeight="1" x14ac:dyDescent="0.35">
      <c r="A38" s="88"/>
      <c r="B38" s="88"/>
      <c r="C38" s="89" t="s">
        <v>52</v>
      </c>
      <c r="D38" s="69"/>
      <c r="E38" s="69">
        <v>0</v>
      </c>
    </row>
    <row r="39" spans="1:5" ht="14" customHeight="1" x14ac:dyDescent="0.35">
      <c r="A39" s="88"/>
      <c r="B39" s="91" t="s">
        <v>47</v>
      </c>
      <c r="C39" s="93"/>
      <c r="D39" s="76">
        <f ca="1">SUM(D39:D43)</f>
        <v>0</v>
      </c>
      <c r="E39" s="76">
        <v>0</v>
      </c>
    </row>
    <row r="40" spans="1:5" ht="14" hidden="1" customHeight="1" x14ac:dyDescent="0.35">
      <c r="A40" s="88"/>
      <c r="B40" s="88"/>
      <c r="C40" s="89" t="s">
        <v>48</v>
      </c>
      <c r="D40" s="69"/>
      <c r="E40" s="69">
        <v>0</v>
      </c>
    </row>
    <row r="41" spans="1:5" ht="14" hidden="1" customHeight="1" x14ac:dyDescent="0.35">
      <c r="A41" s="88"/>
      <c r="B41" s="88"/>
      <c r="C41" s="89" t="s">
        <v>49</v>
      </c>
      <c r="D41" s="69"/>
      <c r="E41" s="69">
        <v>0</v>
      </c>
    </row>
    <row r="42" spans="1:5" ht="14" hidden="1" customHeight="1" x14ac:dyDescent="0.35">
      <c r="A42" s="88"/>
      <c r="B42" s="88"/>
      <c r="C42" s="89" t="s">
        <v>50</v>
      </c>
      <c r="D42" s="69"/>
      <c r="E42" s="69">
        <v>0</v>
      </c>
    </row>
    <row r="43" spans="1:5" ht="14" hidden="1" customHeight="1" x14ac:dyDescent="0.35">
      <c r="A43" s="88"/>
      <c r="B43" s="88"/>
      <c r="C43" s="89" t="s">
        <v>52</v>
      </c>
      <c r="D43" s="69"/>
      <c r="E43" s="69">
        <v>0</v>
      </c>
    </row>
    <row r="44" spans="1:5" ht="14" customHeight="1" x14ac:dyDescent="0.35">
      <c r="A44" s="88"/>
      <c r="B44" s="91" t="s">
        <v>98</v>
      </c>
      <c r="C44" s="93"/>
      <c r="D44" s="76">
        <f>SUM(D45:D48)</f>
        <v>0</v>
      </c>
      <c r="E44" s="76">
        <v>0</v>
      </c>
    </row>
    <row r="45" spans="1:5" ht="14" hidden="1" customHeight="1" x14ac:dyDescent="0.35">
      <c r="A45" s="88"/>
      <c r="B45" s="88"/>
      <c r="C45" s="89" t="s">
        <v>99</v>
      </c>
      <c r="D45" s="69"/>
      <c r="E45" s="69">
        <v>0</v>
      </c>
    </row>
    <row r="46" spans="1:5" ht="14" hidden="1" customHeight="1" x14ac:dyDescent="0.35">
      <c r="A46" s="88"/>
      <c r="B46" s="88"/>
      <c r="C46" s="89" t="s">
        <v>100</v>
      </c>
      <c r="D46" s="69"/>
      <c r="E46" s="69">
        <v>0</v>
      </c>
    </row>
    <row r="47" spans="1:5" ht="14" hidden="1" customHeight="1" x14ac:dyDescent="0.35">
      <c r="A47" s="88"/>
      <c r="B47" s="88"/>
      <c r="C47" s="89" t="s">
        <v>101</v>
      </c>
      <c r="D47" s="69"/>
      <c r="E47" s="69">
        <v>0</v>
      </c>
    </row>
    <row r="48" spans="1:5" ht="14" hidden="1" customHeight="1" x14ac:dyDescent="0.35">
      <c r="A48" s="88"/>
      <c r="B48" s="88"/>
      <c r="C48" s="89" t="s">
        <v>52</v>
      </c>
      <c r="D48" s="69"/>
      <c r="E48" s="69">
        <v>0</v>
      </c>
    </row>
    <row r="49" spans="1:5" ht="14" customHeight="1" x14ac:dyDescent="0.35">
      <c r="A49" s="88"/>
      <c r="B49" s="91" t="s">
        <v>71</v>
      </c>
      <c r="C49" s="93"/>
      <c r="D49" s="76">
        <f>SUM(D50:D56)</f>
        <v>0</v>
      </c>
      <c r="E49" s="76">
        <v>0</v>
      </c>
    </row>
    <row r="50" spans="1:5" ht="14" hidden="1" customHeight="1" x14ac:dyDescent="0.35">
      <c r="A50" s="88"/>
      <c r="B50" s="88"/>
      <c r="C50" s="89" t="s">
        <v>72</v>
      </c>
      <c r="D50" s="69"/>
      <c r="E50" s="69">
        <v>0</v>
      </c>
    </row>
    <row r="51" spans="1:5" ht="14" hidden="1" customHeight="1" x14ac:dyDescent="0.35">
      <c r="A51" s="88"/>
      <c r="B51" s="88"/>
      <c r="C51" s="89" t="s">
        <v>76</v>
      </c>
      <c r="D51" s="69"/>
      <c r="E51" s="69">
        <v>0</v>
      </c>
    </row>
    <row r="52" spans="1:5" ht="14" hidden="1" customHeight="1" x14ac:dyDescent="0.35">
      <c r="A52" s="88"/>
      <c r="B52" s="88"/>
      <c r="C52" s="89" t="s">
        <v>30</v>
      </c>
      <c r="D52" s="69"/>
      <c r="E52" s="69">
        <v>0</v>
      </c>
    </row>
    <row r="53" spans="1:5" ht="14" hidden="1" customHeight="1" x14ac:dyDescent="0.35">
      <c r="A53" s="88"/>
      <c r="B53" s="88"/>
      <c r="C53" s="89" t="s">
        <v>62</v>
      </c>
      <c r="D53" s="69"/>
      <c r="E53" s="69">
        <v>0</v>
      </c>
    </row>
    <row r="54" spans="1:5" ht="14" hidden="1" customHeight="1" x14ac:dyDescent="0.35">
      <c r="A54" s="88"/>
      <c r="B54" s="88"/>
      <c r="C54" s="89" t="s">
        <v>102</v>
      </c>
      <c r="D54" s="69"/>
      <c r="E54" s="69">
        <v>0</v>
      </c>
    </row>
    <row r="55" spans="1:5" ht="14" hidden="1" customHeight="1" x14ac:dyDescent="0.35">
      <c r="A55" s="88"/>
      <c r="B55" s="88"/>
      <c r="C55" s="89" t="s">
        <v>103</v>
      </c>
      <c r="D55" s="69"/>
      <c r="E55" s="69">
        <v>0</v>
      </c>
    </row>
    <row r="56" spans="1:5" ht="14" hidden="1" customHeight="1" x14ac:dyDescent="0.35">
      <c r="A56" s="88"/>
      <c r="B56" s="88"/>
      <c r="C56" s="89" t="s">
        <v>52</v>
      </c>
      <c r="D56" s="69"/>
      <c r="E56" s="69">
        <v>0</v>
      </c>
    </row>
    <row r="57" spans="1:5" ht="14" customHeight="1" x14ac:dyDescent="0.35">
      <c r="A57" s="88"/>
      <c r="B57" s="91" t="s">
        <v>29</v>
      </c>
      <c r="C57" s="93"/>
      <c r="D57" s="76">
        <f>SUM(D58:D60)</f>
        <v>0</v>
      </c>
      <c r="E57" s="76">
        <v>0</v>
      </c>
    </row>
    <row r="58" spans="1:5" ht="14" hidden="1" customHeight="1" x14ac:dyDescent="0.35">
      <c r="A58" s="88"/>
      <c r="B58" s="88"/>
      <c r="C58" s="89" t="s">
        <v>40</v>
      </c>
      <c r="D58" s="69"/>
      <c r="E58" s="69">
        <v>0</v>
      </c>
    </row>
    <row r="59" spans="1:5" ht="14" hidden="1" customHeight="1" x14ac:dyDescent="0.35">
      <c r="A59" s="88"/>
      <c r="B59" s="88"/>
      <c r="C59" s="89" t="s">
        <v>30</v>
      </c>
      <c r="D59" s="69"/>
      <c r="E59" s="69">
        <v>0</v>
      </c>
    </row>
    <row r="60" spans="1:5" ht="14" hidden="1" customHeight="1" x14ac:dyDescent="0.35">
      <c r="A60" s="88"/>
      <c r="B60" s="88"/>
      <c r="C60" s="89" t="s">
        <v>52</v>
      </c>
      <c r="D60" s="69"/>
      <c r="E60" s="69">
        <v>0</v>
      </c>
    </row>
    <row r="61" spans="1:5" ht="14" customHeight="1" x14ac:dyDescent="0.35">
      <c r="A61" s="88"/>
      <c r="B61" s="91" t="s">
        <v>53</v>
      </c>
      <c r="C61" s="93"/>
      <c r="D61" s="76">
        <f>SUM(D62:D63)</f>
        <v>0</v>
      </c>
      <c r="E61" s="76">
        <v>0</v>
      </c>
    </row>
    <row r="62" spans="1:5" ht="14" hidden="1" customHeight="1" x14ac:dyDescent="0.35">
      <c r="A62" s="88"/>
      <c r="B62" s="88"/>
      <c r="C62" s="89" t="s">
        <v>70</v>
      </c>
      <c r="D62" s="69"/>
      <c r="E62" s="69">
        <v>0</v>
      </c>
    </row>
    <row r="63" spans="1:5" ht="14" hidden="1" customHeight="1" x14ac:dyDescent="0.35">
      <c r="A63" s="88"/>
      <c r="B63" s="88"/>
      <c r="C63" s="89" t="s">
        <v>54</v>
      </c>
      <c r="D63" s="69"/>
      <c r="E63" s="69">
        <v>0</v>
      </c>
    </row>
    <row r="64" spans="1:5" ht="14" customHeight="1" x14ac:dyDescent="0.35">
      <c r="A64" s="88"/>
      <c r="B64" s="91" t="s">
        <v>41</v>
      </c>
      <c r="C64" s="93"/>
      <c r="D64" s="76">
        <f>SUM(D65:D68)</f>
        <v>0</v>
      </c>
      <c r="E64" s="76">
        <v>0</v>
      </c>
    </row>
    <row r="65" spans="1:5" ht="14" hidden="1" customHeight="1" x14ac:dyDescent="0.35">
      <c r="A65" s="88"/>
      <c r="B65" s="88"/>
      <c r="C65" s="89" t="s">
        <v>42</v>
      </c>
      <c r="D65" s="69"/>
      <c r="E65" s="69">
        <v>0</v>
      </c>
    </row>
    <row r="66" spans="1:5" ht="14" hidden="1" customHeight="1" x14ac:dyDescent="0.35">
      <c r="A66" s="88"/>
      <c r="B66" s="88"/>
      <c r="C66" s="89" t="s">
        <v>104</v>
      </c>
      <c r="D66" s="69"/>
      <c r="E66" s="69">
        <v>0</v>
      </c>
    </row>
    <row r="67" spans="1:5" ht="14" hidden="1" customHeight="1" x14ac:dyDescent="0.35">
      <c r="A67" s="88"/>
      <c r="B67" s="88"/>
      <c r="C67" s="89" t="s">
        <v>105</v>
      </c>
      <c r="D67" s="69"/>
      <c r="E67" s="69">
        <v>0</v>
      </c>
    </row>
    <row r="68" spans="1:5" ht="14" hidden="1" customHeight="1" x14ac:dyDescent="0.35">
      <c r="A68" s="88"/>
      <c r="B68" s="88"/>
      <c r="C68" s="89" t="s">
        <v>52</v>
      </c>
      <c r="D68" s="69"/>
      <c r="E68" s="69">
        <v>0</v>
      </c>
    </row>
    <row r="69" spans="1:5" ht="14" customHeight="1" x14ac:dyDescent="0.35">
      <c r="A69" s="88"/>
      <c r="B69" s="91" t="s">
        <v>63</v>
      </c>
      <c r="C69" s="93"/>
      <c r="D69" s="76">
        <f>SUM(D70:D72)</f>
        <v>0</v>
      </c>
      <c r="E69" s="76">
        <v>0</v>
      </c>
    </row>
    <row r="70" spans="1:5" ht="14" hidden="1" customHeight="1" x14ac:dyDescent="0.35">
      <c r="A70" s="88"/>
      <c r="B70" s="88"/>
      <c r="C70" s="89" t="s">
        <v>64</v>
      </c>
      <c r="D70" s="69"/>
      <c r="E70" s="69">
        <v>0</v>
      </c>
    </row>
    <row r="71" spans="1:5" ht="14" hidden="1" customHeight="1" x14ac:dyDescent="0.35">
      <c r="A71" s="88"/>
      <c r="B71" s="88"/>
      <c r="C71" s="89" t="s">
        <v>62</v>
      </c>
      <c r="D71" s="69"/>
      <c r="E71" s="69">
        <v>0</v>
      </c>
    </row>
    <row r="72" spans="1:5" ht="14" hidden="1" customHeight="1" x14ac:dyDescent="0.35">
      <c r="A72" s="88"/>
      <c r="B72" s="88"/>
      <c r="C72" s="89" t="s">
        <v>52</v>
      </c>
      <c r="D72" s="69"/>
      <c r="E72" s="69">
        <v>0</v>
      </c>
    </row>
    <row r="73" spans="1:5" ht="14" customHeight="1" x14ac:dyDescent="0.35">
      <c r="A73" s="88"/>
      <c r="B73" s="91" t="s">
        <v>61</v>
      </c>
      <c r="C73" s="93"/>
      <c r="D73" s="76">
        <f>SUM(D74:D77)</f>
        <v>0</v>
      </c>
      <c r="E73" s="76">
        <v>0</v>
      </c>
    </row>
    <row r="74" spans="1:5" ht="14" hidden="1" customHeight="1" x14ac:dyDescent="0.35">
      <c r="A74" s="88"/>
      <c r="B74" s="88"/>
      <c r="C74" s="89" t="s">
        <v>72</v>
      </c>
      <c r="D74" s="69"/>
      <c r="E74" s="69">
        <v>0</v>
      </c>
    </row>
    <row r="75" spans="1:5" ht="14" hidden="1" customHeight="1" x14ac:dyDescent="0.35">
      <c r="A75" s="88"/>
      <c r="B75" s="88"/>
      <c r="C75" s="89" t="s">
        <v>62</v>
      </c>
      <c r="D75" s="69"/>
      <c r="E75" s="69">
        <v>0</v>
      </c>
    </row>
    <row r="76" spans="1:5" ht="14" hidden="1" customHeight="1" x14ac:dyDescent="0.35">
      <c r="A76" s="88"/>
      <c r="B76" s="88"/>
      <c r="C76" s="89" t="s">
        <v>93</v>
      </c>
      <c r="D76" s="69"/>
      <c r="E76" s="69">
        <v>0</v>
      </c>
    </row>
    <row r="77" spans="1:5" ht="14" hidden="1" customHeight="1" x14ac:dyDescent="0.35">
      <c r="A77" s="88"/>
      <c r="B77" s="88"/>
      <c r="C77" s="89" t="s">
        <v>52</v>
      </c>
      <c r="D77" s="69"/>
      <c r="E77" s="69">
        <v>0</v>
      </c>
    </row>
    <row r="78" spans="1:5" ht="14" customHeight="1" x14ac:dyDescent="0.35">
      <c r="A78" s="88"/>
      <c r="B78" s="91" t="s">
        <v>45</v>
      </c>
      <c r="C78" s="93"/>
      <c r="D78" s="76">
        <f>SUM(D79:D83)</f>
        <v>0</v>
      </c>
      <c r="E78" s="76">
        <v>0</v>
      </c>
    </row>
    <row r="79" spans="1:5" ht="14" hidden="1" customHeight="1" x14ac:dyDescent="0.35">
      <c r="A79" s="88"/>
      <c r="B79" s="88"/>
      <c r="C79" s="89" t="s">
        <v>46</v>
      </c>
      <c r="D79" s="69"/>
      <c r="E79" s="69">
        <v>0</v>
      </c>
    </row>
    <row r="80" spans="1:5" ht="14" hidden="1" customHeight="1" x14ac:dyDescent="0.35">
      <c r="A80" s="88"/>
      <c r="B80" s="88"/>
      <c r="C80" s="89" t="s">
        <v>73</v>
      </c>
      <c r="D80" s="69"/>
      <c r="E80" s="69">
        <v>0</v>
      </c>
    </row>
    <row r="81" spans="1:5" ht="14" hidden="1" customHeight="1" x14ac:dyDescent="0.35">
      <c r="A81" s="88"/>
      <c r="B81" s="88"/>
      <c r="C81" s="89" t="s">
        <v>57</v>
      </c>
      <c r="D81" s="69"/>
      <c r="E81" s="69">
        <v>0</v>
      </c>
    </row>
    <row r="82" spans="1:5" ht="14" hidden="1" customHeight="1" x14ac:dyDescent="0.35">
      <c r="A82" s="88"/>
      <c r="B82" s="88"/>
      <c r="C82" s="89" t="s">
        <v>55</v>
      </c>
      <c r="D82" s="69"/>
      <c r="E82" s="69">
        <v>0</v>
      </c>
    </row>
    <row r="83" spans="1:5" ht="14" hidden="1" customHeight="1" x14ac:dyDescent="0.35">
      <c r="A83" s="88"/>
      <c r="B83" s="88"/>
      <c r="C83" s="89" t="s">
        <v>52</v>
      </c>
      <c r="D83" s="69"/>
      <c r="E83" s="69">
        <v>0</v>
      </c>
    </row>
    <row r="84" spans="1:5" ht="5.9" customHeight="1" thickBot="1" x14ac:dyDescent="0.4">
      <c r="A84" s="88"/>
      <c r="B84" s="88"/>
      <c r="C84" s="89"/>
      <c r="D84" s="69"/>
      <c r="E84" s="69"/>
    </row>
    <row r="85" spans="1:5" ht="17.25" customHeight="1" thickTop="1" thickBot="1" x14ac:dyDescent="0.4">
      <c r="A85" s="94" t="s">
        <v>106</v>
      </c>
      <c r="B85" s="94"/>
      <c r="C85" s="95"/>
      <c r="D85" s="78"/>
      <c r="E85" s="78">
        <v>0</v>
      </c>
    </row>
    <row r="86" spans="1:5" ht="14" customHeight="1" x14ac:dyDescent="0.35">
      <c r="A86" s="88"/>
      <c r="B86" s="88"/>
      <c r="C86" s="89"/>
      <c r="D86" s="80"/>
      <c r="E86" s="80"/>
    </row>
    <row r="87" spans="1:5" ht="14.5" customHeight="1" thickBot="1" x14ac:dyDescent="0.4">
      <c r="A87" s="88"/>
      <c r="B87" s="88"/>
      <c r="C87" s="89"/>
      <c r="D87" s="80"/>
      <c r="E87" s="80"/>
    </row>
    <row r="88" spans="1:5" ht="14" customHeight="1" x14ac:dyDescent="0.35">
      <c r="A88" s="88"/>
      <c r="B88" s="88"/>
      <c r="C88" s="89"/>
      <c r="D88" s="116" t="s">
        <v>90</v>
      </c>
      <c r="E88" s="118" t="s">
        <v>120</v>
      </c>
    </row>
    <row r="89" spans="1:5" ht="14.5" customHeight="1" thickBot="1" x14ac:dyDescent="0.4">
      <c r="A89" s="88"/>
      <c r="B89" s="88"/>
      <c r="C89" s="89"/>
      <c r="D89" s="117"/>
      <c r="E89" s="119"/>
    </row>
    <row r="90" spans="1:5" ht="14" customHeight="1" x14ac:dyDescent="0.35">
      <c r="A90" s="88" t="s">
        <v>6</v>
      </c>
      <c r="B90" s="88"/>
      <c r="C90" s="89"/>
      <c r="D90" s="114"/>
      <c r="E90" s="114">
        <v>0</v>
      </c>
    </row>
    <row r="91" spans="1:5" ht="14.5" customHeight="1" thickBot="1" x14ac:dyDescent="0.4">
      <c r="A91" s="88" t="s">
        <v>7</v>
      </c>
      <c r="B91" s="88"/>
      <c r="C91" s="89"/>
      <c r="D91" s="115"/>
      <c r="E91" s="115"/>
    </row>
    <row r="92" spans="1:5" ht="14" customHeight="1" x14ac:dyDescent="0.35">
      <c r="A92" s="88"/>
      <c r="B92" s="88"/>
      <c r="C92" s="89"/>
      <c r="D92" s="80"/>
      <c r="E92" s="80"/>
    </row>
    <row r="93" spans="1:5" ht="14" customHeight="1" x14ac:dyDescent="0.35">
      <c r="A93" s="88"/>
      <c r="B93" s="88"/>
      <c r="C93" s="89"/>
      <c r="D93" s="80"/>
      <c r="E93" s="80"/>
    </row>
    <row r="94" spans="1:5" ht="14" customHeight="1" x14ac:dyDescent="0.35">
      <c r="A94" s="88"/>
      <c r="B94" s="88"/>
      <c r="C94" s="89"/>
      <c r="D94" s="80"/>
      <c r="E94" s="80"/>
    </row>
    <row r="95" spans="1:5" ht="14" customHeight="1" x14ac:dyDescent="0.35">
      <c r="A95" s="88"/>
      <c r="B95" s="88"/>
      <c r="C95" s="89"/>
      <c r="D95" s="80"/>
      <c r="E95" s="80"/>
    </row>
    <row r="96" spans="1:5" ht="14" customHeight="1" x14ac:dyDescent="0.35">
      <c r="A96" s="88"/>
      <c r="B96" s="88"/>
      <c r="C96" s="89"/>
      <c r="D96" s="80"/>
      <c r="E96" s="80"/>
    </row>
    <row r="97" spans="1:5" ht="14" customHeight="1" x14ac:dyDescent="0.35">
      <c r="A97" s="88"/>
      <c r="B97" s="88"/>
      <c r="C97" s="89"/>
      <c r="D97" s="80"/>
      <c r="E97" s="80"/>
    </row>
    <row r="98" spans="1:5" ht="14" customHeight="1" x14ac:dyDescent="0.35">
      <c r="A98" s="88"/>
      <c r="B98" s="88"/>
      <c r="C98" s="89"/>
      <c r="D98" s="80"/>
      <c r="E98" s="80"/>
    </row>
    <row r="99" spans="1:5" ht="14" customHeight="1" x14ac:dyDescent="0.35">
      <c r="A99" s="88"/>
      <c r="B99" s="88"/>
      <c r="C99" s="89"/>
      <c r="D99" s="80"/>
      <c r="E99" s="80"/>
    </row>
    <row r="100" spans="1:5" ht="14" customHeight="1" x14ac:dyDescent="0.35">
      <c r="A100" s="88"/>
      <c r="B100" s="88"/>
      <c r="C100" s="89"/>
      <c r="D100" s="80"/>
      <c r="E100" s="80"/>
    </row>
    <row r="101" spans="1:5" ht="14" customHeight="1" x14ac:dyDescent="0.35">
      <c r="A101" s="88"/>
      <c r="B101" s="88"/>
      <c r="C101" s="89"/>
      <c r="D101" s="80"/>
      <c r="E101" s="80"/>
    </row>
    <row r="102" spans="1:5" ht="14" customHeight="1" x14ac:dyDescent="0.35">
      <c r="A102" s="88"/>
      <c r="B102" s="88"/>
      <c r="C102" s="89"/>
      <c r="D102" s="80"/>
      <c r="E102" s="80"/>
    </row>
    <row r="103" spans="1:5" ht="14" customHeight="1" x14ac:dyDescent="0.35">
      <c r="A103" s="88"/>
      <c r="B103" s="88"/>
      <c r="C103" s="89"/>
      <c r="D103" s="80"/>
      <c r="E103" s="80"/>
    </row>
    <row r="104" spans="1:5" ht="14" customHeight="1" x14ac:dyDescent="0.35">
      <c r="A104" s="88"/>
      <c r="B104" s="88"/>
      <c r="C104" s="89"/>
      <c r="D104" s="80"/>
      <c r="E104" s="80"/>
    </row>
    <row r="105" spans="1:5" ht="14" customHeight="1" x14ac:dyDescent="0.35">
      <c r="A105" s="88"/>
      <c r="B105" s="88"/>
      <c r="C105" s="89"/>
      <c r="D105" s="80"/>
      <c r="E105" s="80"/>
    </row>
    <row r="106" spans="1:5" ht="14" customHeight="1" x14ac:dyDescent="0.35">
      <c r="A106" s="88"/>
      <c r="B106" s="88"/>
      <c r="C106" s="89"/>
      <c r="D106" s="80"/>
      <c r="E106" s="80"/>
    </row>
    <row r="107" spans="1:5" ht="14" customHeight="1" x14ac:dyDescent="0.35">
      <c r="A107" s="88"/>
      <c r="B107" s="88"/>
      <c r="C107" s="89"/>
      <c r="D107" s="80"/>
      <c r="E107" s="80"/>
    </row>
    <row r="108" spans="1:5" ht="14" customHeight="1" x14ac:dyDescent="0.35">
      <c r="A108" s="88"/>
      <c r="B108" s="88"/>
      <c r="C108" s="89"/>
      <c r="D108" s="80"/>
      <c r="E108" s="80"/>
    </row>
    <row r="109" spans="1:5" ht="14" customHeight="1" x14ac:dyDescent="0.35">
      <c r="A109" s="88"/>
      <c r="B109" s="88"/>
      <c r="C109" s="89"/>
      <c r="D109" s="80"/>
      <c r="E109" s="80"/>
    </row>
    <row r="110" spans="1:5" ht="14" customHeight="1" x14ac:dyDescent="0.35">
      <c r="A110" s="88"/>
      <c r="B110" s="88"/>
      <c r="C110" s="89"/>
      <c r="D110" s="80"/>
      <c r="E110" s="80"/>
    </row>
    <row r="111" spans="1:5" ht="14" customHeight="1" x14ac:dyDescent="0.35">
      <c r="A111" s="88"/>
      <c r="B111" s="88"/>
      <c r="C111" s="89"/>
      <c r="D111" s="80"/>
      <c r="E111" s="80"/>
    </row>
    <row r="112" spans="1:5" ht="14" customHeight="1" x14ac:dyDescent="0.35">
      <c r="A112" s="88"/>
      <c r="B112" s="88"/>
      <c r="C112" s="89"/>
      <c r="D112" s="80"/>
      <c r="E112" s="80"/>
    </row>
    <row r="113" spans="1:5" ht="14" customHeight="1" x14ac:dyDescent="0.35">
      <c r="A113" s="88"/>
      <c r="B113" s="88"/>
      <c r="C113" s="89"/>
      <c r="D113" s="80"/>
      <c r="E113" s="80"/>
    </row>
    <row r="114" spans="1:5" ht="14" customHeight="1" x14ac:dyDescent="0.35">
      <c r="A114" s="88"/>
      <c r="B114" s="88"/>
      <c r="C114" s="89"/>
      <c r="D114" s="80"/>
      <c r="E114" s="80"/>
    </row>
    <row r="115" spans="1:5" ht="14" customHeight="1" x14ac:dyDescent="0.35">
      <c r="A115" s="88"/>
      <c r="B115" s="88"/>
      <c r="C115" s="89"/>
      <c r="D115" s="80"/>
      <c r="E115" s="80"/>
    </row>
    <row r="116" spans="1:5" ht="14" customHeight="1" x14ac:dyDescent="0.35">
      <c r="A116" s="88"/>
      <c r="B116" s="88"/>
      <c r="C116" s="89"/>
      <c r="D116" s="80"/>
      <c r="E116" s="80"/>
    </row>
    <row r="117" spans="1:5" ht="14" customHeight="1" x14ac:dyDescent="0.35">
      <c r="A117" s="88"/>
      <c r="B117" s="88"/>
      <c r="C117" s="89"/>
      <c r="D117" s="80"/>
      <c r="E117" s="80"/>
    </row>
    <row r="118" spans="1:5" ht="14" customHeight="1" x14ac:dyDescent="0.35">
      <c r="A118" s="88"/>
      <c r="B118" s="88"/>
      <c r="C118" s="89"/>
      <c r="D118" s="80"/>
      <c r="E118" s="80"/>
    </row>
    <row r="119" spans="1:5" ht="14" customHeight="1" x14ac:dyDescent="0.35">
      <c r="A119" s="88"/>
      <c r="B119" s="88"/>
      <c r="C119" s="89"/>
      <c r="D119" s="80"/>
      <c r="E119" s="80"/>
    </row>
    <row r="120" spans="1:5" ht="14" customHeight="1" x14ac:dyDescent="0.35">
      <c r="A120" s="88"/>
      <c r="B120" s="88"/>
      <c r="C120" s="89"/>
      <c r="D120" s="80"/>
      <c r="E120" s="80"/>
    </row>
    <row r="121" spans="1:5" ht="14" customHeight="1" x14ac:dyDescent="0.35">
      <c r="A121" s="88"/>
      <c r="B121" s="88"/>
      <c r="C121" s="89"/>
      <c r="D121" s="80"/>
      <c r="E121" s="80"/>
    </row>
    <row r="122" spans="1:5" ht="14" customHeight="1" x14ac:dyDescent="0.35">
      <c r="A122" s="88"/>
      <c r="B122" s="88"/>
      <c r="C122" s="89"/>
      <c r="D122" s="80"/>
      <c r="E122" s="80"/>
    </row>
    <row r="123" spans="1:5" ht="14" customHeight="1" x14ac:dyDescent="0.35">
      <c r="A123" s="88"/>
      <c r="B123" s="88"/>
      <c r="C123" s="89"/>
      <c r="D123" s="80"/>
      <c r="E123" s="80"/>
    </row>
    <row r="124" spans="1:5" ht="14" customHeight="1" x14ac:dyDescent="0.35">
      <c r="A124" s="88"/>
      <c r="B124" s="88"/>
      <c r="C124" s="89"/>
      <c r="D124" s="80"/>
      <c r="E124" s="80"/>
    </row>
    <row r="125" spans="1:5" ht="14" customHeight="1" x14ac:dyDescent="0.35">
      <c r="A125" s="88"/>
      <c r="B125" s="88"/>
      <c r="C125" s="89"/>
      <c r="D125" s="80"/>
      <c r="E125" s="80"/>
    </row>
    <row r="126" spans="1:5" ht="14" customHeight="1" x14ac:dyDescent="0.35">
      <c r="A126" s="88"/>
      <c r="B126" s="88"/>
      <c r="C126" s="89"/>
      <c r="D126" s="80"/>
      <c r="E126" s="80"/>
    </row>
    <row r="127" spans="1:5" ht="14" customHeight="1" x14ac:dyDescent="0.35">
      <c r="A127" s="88"/>
      <c r="B127" s="88"/>
      <c r="C127" s="89"/>
      <c r="D127" s="80"/>
      <c r="E127" s="80"/>
    </row>
    <row r="128" spans="1:5" ht="14" customHeight="1" x14ac:dyDescent="0.35">
      <c r="A128" s="88"/>
      <c r="B128" s="88"/>
      <c r="C128" s="89"/>
      <c r="D128" s="80"/>
      <c r="E128" s="80"/>
    </row>
    <row r="129" spans="1:5" ht="14" customHeight="1" x14ac:dyDescent="0.35">
      <c r="A129" s="88"/>
      <c r="B129" s="88"/>
      <c r="C129" s="89"/>
      <c r="D129" s="80"/>
      <c r="E129" s="80"/>
    </row>
    <row r="130" spans="1:5" ht="14" customHeight="1" x14ac:dyDescent="0.35">
      <c r="A130" s="88"/>
      <c r="B130" s="88"/>
      <c r="C130" s="89"/>
      <c r="D130" s="80"/>
      <c r="E130" s="80"/>
    </row>
    <row r="131" spans="1:5" ht="14" customHeight="1" x14ac:dyDescent="0.35">
      <c r="A131" s="88"/>
      <c r="B131" s="88"/>
      <c r="C131" s="89"/>
      <c r="D131" s="80"/>
      <c r="E131" s="80"/>
    </row>
    <row r="132" spans="1:5" ht="14" customHeight="1" x14ac:dyDescent="0.35">
      <c r="A132" s="88"/>
      <c r="B132" s="88"/>
      <c r="C132" s="89"/>
      <c r="D132" s="80"/>
      <c r="E132" s="80"/>
    </row>
    <row r="133" spans="1:5" ht="14" customHeight="1" x14ac:dyDescent="0.35">
      <c r="A133" s="88"/>
      <c r="B133" s="88"/>
      <c r="C133" s="89"/>
      <c r="D133" s="80"/>
      <c r="E133" s="80"/>
    </row>
    <row r="134" spans="1:5" ht="14" customHeight="1" x14ac:dyDescent="0.35">
      <c r="A134" s="88"/>
      <c r="B134" s="88"/>
      <c r="C134" s="89"/>
      <c r="D134" s="80"/>
      <c r="E134" s="80"/>
    </row>
    <row r="135" spans="1:5" ht="14" customHeight="1" x14ac:dyDescent="0.35">
      <c r="A135" s="88"/>
      <c r="B135" s="88"/>
      <c r="C135" s="89"/>
      <c r="D135" s="80"/>
      <c r="E135" s="80"/>
    </row>
    <row r="136" spans="1:5" ht="14" customHeight="1" x14ac:dyDescent="0.35">
      <c r="A136" s="88"/>
      <c r="B136" s="88"/>
      <c r="C136" s="89"/>
      <c r="D136" s="80"/>
      <c r="E136" s="80"/>
    </row>
    <row r="137" spans="1:5" ht="14" customHeight="1" x14ac:dyDescent="0.35">
      <c r="A137" s="88"/>
      <c r="B137" s="88"/>
      <c r="C137" s="89"/>
      <c r="D137" s="80"/>
      <c r="E137" s="80"/>
    </row>
    <row r="138" spans="1:5" ht="14" customHeight="1" x14ac:dyDescent="0.35">
      <c r="A138" s="88"/>
      <c r="B138" s="88"/>
      <c r="C138" s="89"/>
      <c r="D138" s="80"/>
      <c r="E138" s="80"/>
    </row>
    <row r="139" spans="1:5" ht="14" customHeight="1" x14ac:dyDescent="0.35">
      <c r="A139" s="88"/>
      <c r="B139" s="88"/>
      <c r="C139" s="89"/>
      <c r="D139" s="80"/>
      <c r="E139" s="80"/>
    </row>
    <row r="140" spans="1:5" ht="14" customHeight="1" x14ac:dyDescent="0.35">
      <c r="A140" s="88"/>
      <c r="B140" s="88"/>
      <c r="C140" s="89"/>
      <c r="D140" s="80"/>
      <c r="E140" s="80"/>
    </row>
    <row r="141" spans="1:5" ht="14" customHeight="1" x14ac:dyDescent="0.35">
      <c r="A141" s="88"/>
      <c r="B141" s="88"/>
      <c r="C141" s="89"/>
      <c r="D141" s="80"/>
      <c r="E141" s="80"/>
    </row>
    <row r="142" spans="1:5" ht="14" customHeight="1" x14ac:dyDescent="0.35">
      <c r="A142" s="88"/>
      <c r="B142" s="88"/>
      <c r="C142" s="89"/>
      <c r="D142" s="80"/>
      <c r="E142" s="80"/>
    </row>
    <row r="143" spans="1:5" ht="14" customHeight="1" x14ac:dyDescent="0.35">
      <c r="A143" s="88"/>
      <c r="B143" s="88"/>
      <c r="C143" s="89"/>
      <c r="D143" s="80"/>
      <c r="E143" s="80"/>
    </row>
    <row r="144" spans="1:5" ht="14" customHeight="1" x14ac:dyDescent="0.35">
      <c r="A144" s="88"/>
      <c r="B144" s="88"/>
      <c r="C144" s="89"/>
      <c r="D144" s="80"/>
      <c r="E144" s="80"/>
    </row>
    <row r="145" spans="1:5" ht="14" customHeight="1" x14ac:dyDescent="0.35">
      <c r="A145" s="88"/>
      <c r="B145" s="88"/>
      <c r="C145" s="89"/>
      <c r="D145" s="80"/>
      <c r="E145" s="80"/>
    </row>
    <row r="146" spans="1:5" ht="14" customHeight="1" x14ac:dyDescent="0.35">
      <c r="A146" s="88"/>
      <c r="B146" s="88"/>
      <c r="C146" s="89"/>
      <c r="D146" s="80"/>
      <c r="E146" s="80"/>
    </row>
    <row r="147" spans="1:5" ht="14" customHeight="1" x14ac:dyDescent="0.35">
      <c r="A147" s="88"/>
      <c r="B147" s="88"/>
      <c r="C147" s="89"/>
      <c r="D147" s="80"/>
      <c r="E147" s="80"/>
    </row>
    <row r="148" spans="1:5" ht="14" customHeight="1" x14ac:dyDescent="0.35">
      <c r="A148" s="88"/>
      <c r="B148" s="88"/>
      <c r="C148" s="89"/>
      <c r="D148" s="80"/>
      <c r="E148" s="80"/>
    </row>
    <row r="149" spans="1:5" ht="14" customHeight="1" x14ac:dyDescent="0.35">
      <c r="A149" s="88"/>
      <c r="B149" s="88"/>
      <c r="C149" s="89"/>
      <c r="D149" s="80"/>
      <c r="E149" s="80"/>
    </row>
    <row r="150" spans="1:5" ht="14" customHeight="1" x14ac:dyDescent="0.35">
      <c r="A150" s="88"/>
      <c r="B150" s="88"/>
      <c r="C150" s="89"/>
      <c r="D150" s="80"/>
      <c r="E150" s="80"/>
    </row>
    <row r="151" spans="1:5" ht="14.15" customHeight="1" x14ac:dyDescent="0.35"/>
    <row r="152" spans="1:5" ht="14.15" customHeight="1" x14ac:dyDescent="0.35"/>
    <row r="153" spans="1:5" ht="14.15" customHeight="1" x14ac:dyDescent="0.35"/>
    <row r="154" spans="1:5" ht="14.15" customHeight="1" x14ac:dyDescent="0.35"/>
    <row r="155" spans="1:5" ht="14.15" customHeight="1" x14ac:dyDescent="0.35"/>
    <row r="156" spans="1:5" ht="14.15" customHeight="1" x14ac:dyDescent="0.35"/>
    <row r="157" spans="1:5" ht="14.15" customHeight="1" x14ac:dyDescent="0.35"/>
    <row r="158" spans="1:5" ht="14.15" customHeight="1" x14ac:dyDescent="0.35"/>
    <row r="159" spans="1:5" ht="14.15" customHeight="1" x14ac:dyDescent="0.35"/>
    <row r="160" spans="1:5" ht="14.15" customHeight="1" x14ac:dyDescent="0.35"/>
    <row r="161" ht="14.15" customHeight="1" x14ac:dyDescent="0.35"/>
    <row r="162" ht="14.15" customHeight="1" x14ac:dyDescent="0.35"/>
    <row r="163" ht="14.15" customHeight="1" x14ac:dyDescent="0.35"/>
    <row r="164" ht="14.15" customHeight="1" x14ac:dyDescent="0.35"/>
    <row r="165" ht="14.15" customHeight="1" x14ac:dyDescent="0.35"/>
    <row r="166" ht="14.15" customHeight="1" x14ac:dyDescent="0.35"/>
    <row r="167" ht="14.15" customHeight="1" x14ac:dyDescent="0.35"/>
    <row r="168" ht="14.15" customHeight="1" x14ac:dyDescent="0.35"/>
    <row r="169" ht="14.15" customHeight="1" x14ac:dyDescent="0.35"/>
    <row r="170" ht="14.15" customHeight="1" x14ac:dyDescent="0.35"/>
    <row r="171" ht="14.15" customHeight="1" x14ac:dyDescent="0.35"/>
    <row r="172" ht="14.15" customHeight="1" x14ac:dyDescent="0.35"/>
    <row r="173" ht="14.15" customHeight="1" x14ac:dyDescent="0.35"/>
    <row r="174" ht="14.15" customHeight="1" x14ac:dyDescent="0.35"/>
    <row r="175" ht="14.15" customHeight="1" x14ac:dyDescent="0.35"/>
    <row r="176" ht="14.15" customHeight="1" x14ac:dyDescent="0.35"/>
    <row r="177" ht="14.15" customHeight="1" x14ac:dyDescent="0.35"/>
    <row r="178" ht="14.15" customHeight="1" x14ac:dyDescent="0.35"/>
    <row r="179" ht="14.15" customHeight="1" x14ac:dyDescent="0.35"/>
    <row r="180" ht="14.15" customHeight="1" x14ac:dyDescent="0.35"/>
    <row r="181" ht="14.15" customHeight="1" x14ac:dyDescent="0.35"/>
    <row r="182" ht="14.15" customHeight="1" x14ac:dyDescent="0.35"/>
    <row r="183" ht="14.15" customHeight="1" x14ac:dyDescent="0.35"/>
    <row r="184" ht="14.15" customHeight="1" x14ac:dyDescent="0.35"/>
    <row r="185" ht="14.15" customHeight="1" x14ac:dyDescent="0.35"/>
    <row r="186" ht="14.15" customHeight="1" x14ac:dyDescent="0.35"/>
    <row r="187" ht="14.15" customHeight="1" x14ac:dyDescent="0.35"/>
    <row r="188" ht="14.15" customHeight="1" x14ac:dyDescent="0.35"/>
    <row r="189" ht="14.15" customHeight="1" x14ac:dyDescent="0.35"/>
    <row r="190" ht="14.15" customHeight="1" x14ac:dyDescent="0.35"/>
    <row r="191" ht="14.15" customHeight="1" x14ac:dyDescent="0.35"/>
    <row r="192" ht="14.15" customHeight="1" x14ac:dyDescent="0.35"/>
    <row r="193" ht="14.15" customHeight="1" x14ac:dyDescent="0.35"/>
    <row r="194" ht="14.15" customHeight="1" x14ac:dyDescent="0.35"/>
    <row r="195" ht="14.15" customHeight="1" x14ac:dyDescent="0.35"/>
    <row r="196" ht="14.15" customHeight="1" x14ac:dyDescent="0.35"/>
    <row r="197" ht="14.15" customHeight="1" x14ac:dyDescent="0.35"/>
    <row r="198" ht="14.15" customHeight="1" x14ac:dyDescent="0.35"/>
    <row r="199" ht="14.15" customHeight="1" x14ac:dyDescent="0.35"/>
    <row r="200" ht="14.15" customHeight="1" x14ac:dyDescent="0.35"/>
  </sheetData>
  <sheetProtection sheet="1" objects="1" scenarios="1"/>
  <mergeCells count="8">
    <mergeCell ref="D90:D91"/>
    <mergeCell ref="E90:E91"/>
    <mergeCell ref="D4:D5"/>
    <mergeCell ref="E4:E5"/>
    <mergeCell ref="D30:D31"/>
    <mergeCell ref="E30:E31"/>
    <mergeCell ref="D88:D89"/>
    <mergeCell ref="E88:E89"/>
  </mergeCells>
  <conditionalFormatting sqref="A1:A2">
    <cfRule type="containsText" dxfId="1" priority="1" operator="containsText" text="ERREUR">
      <formula>NOT(ISERROR(SEARCH("ERREUR",A1)))</formula>
    </cfRule>
  </conditionalFormatting>
  <pageMargins left="0.70866141732283472" right="0.70866141732283472" top="1.3385826771653544" bottom="0.74803149606299213" header="0.31496062992125984" footer="0.31496062992125984"/>
  <pageSetup orientation="portrait" r:id="rId1"/>
  <headerFooter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Synchroniser_Passation">
                <anchor moveWithCells="1" sizeWithCells="1">
                  <from>
                    <xdr:col>5</xdr:col>
                    <xdr:colOff>381000</xdr:colOff>
                    <xdr:row>1</xdr:row>
                    <xdr:rowOff>114300</xdr:rowOff>
                  </from>
                  <to>
                    <xdr:col>6</xdr:col>
                    <xdr:colOff>647700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7FB1-D3DA-4A0D-90FD-7FC2D1C1151A}">
  <sheetPr codeName="Sheet4">
    <tabColor rgb="FFFF0000"/>
  </sheetPr>
  <dimension ref="A1:G200"/>
  <sheetViews>
    <sheetView workbookViewId="0"/>
  </sheetViews>
  <sheetFormatPr defaultColWidth="8.7265625" defaultRowHeight="14.5" x14ac:dyDescent="0.35"/>
  <cols>
    <col min="1" max="1" width="5" customWidth="1"/>
    <col min="2" max="2" width="2.453125" customWidth="1"/>
    <col min="3" max="3" width="29.7265625" customWidth="1"/>
    <col min="4" max="7" width="12.54296875" customWidth="1"/>
    <col min="8" max="8" width="5" customWidth="1"/>
  </cols>
  <sheetData>
    <row r="1" spans="1:7" ht="14.5" customHeight="1" x14ac:dyDescent="0.35">
      <c r="A1" s="17" t="s">
        <v>111</v>
      </c>
      <c r="B1" s="48"/>
      <c r="C1" s="48"/>
      <c r="D1" s="48"/>
      <c r="E1" s="48"/>
      <c r="F1" s="48"/>
      <c r="G1" s="48"/>
    </row>
    <row r="2" spans="1:7" ht="15.65" customHeight="1" x14ac:dyDescent="0.35">
      <c r="A2" s="17" t="str">
        <f>Prévision!A2</f>
        <v>pour l'exercice se terminant le 30 avril 1900</v>
      </c>
      <c r="B2" s="48"/>
      <c r="C2" s="48"/>
      <c r="D2" s="48"/>
      <c r="E2" s="48"/>
      <c r="F2" s="48"/>
      <c r="G2" s="48"/>
    </row>
    <row r="3" spans="1:7" ht="14.5" customHeight="1" thickBot="1" x14ac:dyDescent="0.4"/>
    <row r="4" spans="1:7" ht="14.15" customHeight="1" x14ac:dyDescent="0.35">
      <c r="A4" s="3"/>
      <c r="B4" s="3"/>
      <c r="C4" s="1"/>
      <c r="D4" s="96" t="s">
        <v>90</v>
      </c>
      <c r="E4" s="96"/>
      <c r="F4" s="98" t="s">
        <v>112</v>
      </c>
    </row>
    <row r="5" spans="1:7" ht="14.5" customHeight="1" thickBot="1" x14ac:dyDescent="0.4">
      <c r="A5" s="3"/>
      <c r="B5" s="3"/>
      <c r="C5" s="1"/>
      <c r="D5" s="97"/>
      <c r="E5" s="97"/>
      <c r="F5" s="99"/>
    </row>
    <row r="6" spans="1:7" s="1" customFormat="1" ht="15.65" customHeight="1" x14ac:dyDescent="0.35">
      <c r="A6" s="4" t="s">
        <v>91</v>
      </c>
      <c r="B6" s="3"/>
      <c r="D6" s="6"/>
      <c r="E6" s="6"/>
      <c r="F6" s="6"/>
      <c r="G6"/>
    </row>
    <row r="7" spans="1:7" ht="5.9" customHeight="1" x14ac:dyDescent="0.35">
      <c r="A7" s="3"/>
      <c r="B7" s="3"/>
      <c r="C7" s="1"/>
      <c r="D7" s="7"/>
      <c r="E7" s="7"/>
      <c r="F7" s="7"/>
    </row>
    <row r="8" spans="1:7" ht="14.15" customHeight="1" x14ac:dyDescent="0.35">
      <c r="A8" s="3"/>
      <c r="B8" s="9" t="s">
        <v>66</v>
      </c>
      <c r="C8" s="12"/>
      <c r="D8" s="11">
        <v>5100</v>
      </c>
      <c r="E8" s="11">
        <v>306.52999999999997</v>
      </c>
      <c r="F8" s="11"/>
    </row>
    <row r="9" spans="1:7" ht="14.15" customHeight="1" x14ac:dyDescent="0.35">
      <c r="A9" s="3"/>
      <c r="B9" s="3"/>
      <c r="C9" s="1" t="s">
        <v>69</v>
      </c>
      <c r="D9" s="7">
        <v>1500</v>
      </c>
      <c r="E9" s="7">
        <v>0</v>
      </c>
      <c r="F9" s="37"/>
    </row>
    <row r="10" spans="1:7" ht="14.15" customHeight="1" x14ac:dyDescent="0.35">
      <c r="A10" s="3"/>
      <c r="B10" s="3"/>
      <c r="C10" s="1" t="s">
        <v>74</v>
      </c>
      <c r="D10" s="7">
        <v>2500</v>
      </c>
      <c r="E10" s="7">
        <v>0</v>
      </c>
      <c r="F10" s="7"/>
    </row>
    <row r="11" spans="1:7" ht="14.15" customHeight="1" x14ac:dyDescent="0.35">
      <c r="A11" s="3"/>
      <c r="B11" s="3"/>
      <c r="C11" s="1" t="s">
        <v>67</v>
      </c>
      <c r="D11" s="37">
        <v>1000</v>
      </c>
      <c r="E11" s="37">
        <v>306.52999999999997</v>
      </c>
      <c r="F11" s="7"/>
    </row>
    <row r="12" spans="1:7" ht="14.15" customHeight="1" x14ac:dyDescent="0.35">
      <c r="A12" s="3"/>
      <c r="B12" s="3"/>
      <c r="C12" s="1" t="s">
        <v>113</v>
      </c>
      <c r="D12" s="7">
        <v>100</v>
      </c>
      <c r="E12" s="7">
        <v>0</v>
      </c>
      <c r="F12" s="7"/>
    </row>
    <row r="13" spans="1:7" ht="14.15" customHeight="1" x14ac:dyDescent="0.35">
      <c r="A13" s="3"/>
      <c r="B13" s="9" t="s">
        <v>51</v>
      </c>
      <c r="C13" s="12"/>
      <c r="D13" s="11">
        <v>750</v>
      </c>
      <c r="E13" s="11">
        <v>760.42</v>
      </c>
      <c r="F13" s="11"/>
    </row>
    <row r="14" spans="1:7" ht="14.15" customHeight="1" x14ac:dyDescent="0.35">
      <c r="A14" s="3"/>
      <c r="B14" s="3"/>
      <c r="C14" s="1" t="s">
        <v>58</v>
      </c>
      <c r="D14" s="7">
        <v>250</v>
      </c>
      <c r="E14" s="7">
        <v>0</v>
      </c>
      <c r="F14" s="7"/>
    </row>
    <row r="15" spans="1:7" ht="14.15" customHeight="1" x14ac:dyDescent="0.35">
      <c r="A15" s="3"/>
      <c r="B15" s="3"/>
      <c r="C15" s="1" t="s">
        <v>93</v>
      </c>
      <c r="D15" s="7">
        <v>500</v>
      </c>
      <c r="E15" s="7">
        <v>0</v>
      </c>
      <c r="F15" s="7"/>
    </row>
    <row r="16" spans="1:7" ht="14.15" customHeight="1" x14ac:dyDescent="0.35">
      <c r="A16" s="3"/>
      <c r="B16" s="3"/>
      <c r="C16" s="1" t="s">
        <v>52</v>
      </c>
      <c r="D16" s="7">
        <v>0</v>
      </c>
      <c r="E16" s="7">
        <v>760.42</v>
      </c>
      <c r="F16" s="7"/>
    </row>
    <row r="17" spans="1:6" ht="14.15" customHeight="1" x14ac:dyDescent="0.35">
      <c r="A17" s="3"/>
      <c r="B17" s="9" t="s">
        <v>27</v>
      </c>
      <c r="C17" s="12"/>
      <c r="D17" s="11">
        <v>18</v>
      </c>
      <c r="E17" s="11">
        <v>8.68</v>
      </c>
      <c r="F17" s="11"/>
    </row>
    <row r="18" spans="1:6" ht="14.15" customHeight="1" x14ac:dyDescent="0.35">
      <c r="A18" s="3"/>
      <c r="B18" s="3"/>
      <c r="C18" s="1" t="s">
        <v>43</v>
      </c>
      <c r="D18" s="37">
        <v>18</v>
      </c>
      <c r="E18" s="37">
        <v>8.43</v>
      </c>
      <c r="F18" s="37"/>
    </row>
    <row r="19" spans="1:6" ht="14.15" customHeight="1" x14ac:dyDescent="0.35">
      <c r="A19" s="3"/>
      <c r="B19" s="3"/>
      <c r="C19" s="1" t="s">
        <v>94</v>
      </c>
      <c r="D19" s="7">
        <v>0</v>
      </c>
      <c r="E19" s="7">
        <v>0</v>
      </c>
      <c r="F19" s="7"/>
    </row>
    <row r="20" spans="1:6" ht="14.15" customHeight="1" x14ac:dyDescent="0.35">
      <c r="A20" s="3"/>
      <c r="B20" s="3"/>
      <c r="C20" s="1" t="s">
        <v>28</v>
      </c>
      <c r="D20" s="7">
        <v>0</v>
      </c>
      <c r="E20" s="7">
        <v>0.25</v>
      </c>
      <c r="F20" s="7"/>
    </row>
    <row r="21" spans="1:6" ht="14.15" customHeight="1" x14ac:dyDescent="0.35">
      <c r="A21" s="3"/>
      <c r="B21" s="9" t="s">
        <v>32</v>
      </c>
      <c r="C21" s="10"/>
      <c r="D21" s="11">
        <v>300</v>
      </c>
      <c r="E21" s="11">
        <v>15</v>
      </c>
      <c r="F21" s="11"/>
    </row>
    <row r="22" spans="1:6" ht="14.15" customHeight="1" x14ac:dyDescent="0.35">
      <c r="A22" s="3"/>
      <c r="B22" s="3"/>
      <c r="C22" s="1" t="s">
        <v>47</v>
      </c>
      <c r="D22" s="37">
        <v>0</v>
      </c>
      <c r="E22" s="7">
        <v>0</v>
      </c>
      <c r="F22" s="37"/>
    </row>
    <row r="23" spans="1:6" ht="14.15" customHeight="1" x14ac:dyDescent="0.35">
      <c r="A23" s="3"/>
      <c r="B23" s="3"/>
      <c r="C23" s="1" t="s">
        <v>44</v>
      </c>
      <c r="D23" s="7">
        <v>50</v>
      </c>
      <c r="E23" s="7">
        <v>15</v>
      </c>
      <c r="F23" s="7"/>
    </row>
    <row r="24" spans="1:6" ht="14.15" customHeight="1" x14ac:dyDescent="0.35">
      <c r="A24" s="3"/>
      <c r="B24" s="3"/>
      <c r="C24" s="1" t="s">
        <v>30</v>
      </c>
      <c r="D24" s="7">
        <v>250</v>
      </c>
      <c r="E24" s="7">
        <v>0</v>
      </c>
      <c r="F24" s="7"/>
    </row>
    <row r="25" spans="1:6" ht="14.15" customHeight="1" x14ac:dyDescent="0.35">
      <c r="A25" s="3"/>
      <c r="B25" s="3"/>
      <c r="C25" s="1" t="s">
        <v>52</v>
      </c>
      <c r="D25" s="7">
        <v>0</v>
      </c>
      <c r="E25" s="7">
        <v>0</v>
      </c>
      <c r="F25" s="7"/>
    </row>
    <row r="26" spans="1:6" ht="5.9" customHeight="1" thickBot="1" x14ac:dyDescent="0.4">
      <c r="A26" s="3"/>
      <c r="B26" s="3"/>
      <c r="C26" s="1"/>
      <c r="D26" s="7"/>
      <c r="E26" s="7"/>
      <c r="F26" s="7"/>
    </row>
    <row r="27" spans="1:6" ht="17.149999999999999" customHeight="1" thickTop="1" thickBot="1" x14ac:dyDescent="0.4">
      <c r="A27" s="13" t="s">
        <v>95</v>
      </c>
      <c r="B27" s="13"/>
      <c r="C27" s="13"/>
      <c r="D27" s="29">
        <v>6168</v>
      </c>
      <c r="E27" s="15">
        <v>1090.6300000000001</v>
      </c>
      <c r="F27" s="15"/>
    </row>
    <row r="28" spans="1:6" ht="14.15" customHeight="1" x14ac:dyDescent="0.35">
      <c r="A28" s="3"/>
      <c r="B28" s="3"/>
      <c r="C28" s="1"/>
      <c r="D28" s="8"/>
      <c r="E28" s="8"/>
      <c r="F28" s="8"/>
    </row>
    <row r="29" spans="1:6" ht="14.5" customHeight="1" thickBot="1" x14ac:dyDescent="0.4">
      <c r="A29" s="3"/>
      <c r="B29" s="3"/>
      <c r="C29" s="1"/>
      <c r="D29" s="5"/>
      <c r="E29" s="5"/>
      <c r="F29" s="5"/>
    </row>
    <row r="30" spans="1:6" ht="14.15" customHeight="1" x14ac:dyDescent="0.35">
      <c r="A30" s="3"/>
      <c r="B30" s="3"/>
      <c r="C30" s="1"/>
      <c r="D30" s="96" t="s">
        <v>90</v>
      </c>
      <c r="E30" s="96"/>
      <c r="F30" s="96"/>
    </row>
    <row r="31" spans="1:6" ht="14.5" customHeight="1" thickBot="1" x14ac:dyDescent="0.4">
      <c r="A31" s="3"/>
      <c r="B31" s="3"/>
      <c r="C31" s="1"/>
      <c r="D31" s="97"/>
      <c r="E31" s="97"/>
      <c r="F31" s="97"/>
    </row>
    <row r="32" spans="1:6" ht="15.65" customHeight="1" x14ac:dyDescent="0.35">
      <c r="A32" s="4" t="s">
        <v>96</v>
      </c>
      <c r="B32" s="3"/>
      <c r="C32" s="1"/>
      <c r="D32" s="6"/>
      <c r="E32" s="6"/>
      <c r="F32" s="6"/>
    </row>
    <row r="33" spans="1:6" ht="5.9" customHeight="1" x14ac:dyDescent="0.35">
      <c r="A33" s="3"/>
      <c r="B33" s="3"/>
      <c r="C33" s="1"/>
      <c r="D33" s="7"/>
      <c r="E33" s="7"/>
      <c r="F33" s="7"/>
    </row>
    <row r="34" spans="1:6" ht="14.15" customHeight="1" x14ac:dyDescent="0.35">
      <c r="A34" s="3"/>
      <c r="B34" s="9" t="s">
        <v>59</v>
      </c>
      <c r="C34" s="10"/>
      <c r="D34" s="11">
        <v>175</v>
      </c>
      <c r="E34" s="11">
        <v>1.93</v>
      </c>
      <c r="F34" s="11"/>
    </row>
    <row r="35" spans="1:6" ht="14.15" customHeight="1" x14ac:dyDescent="0.35">
      <c r="A35" s="3"/>
      <c r="B35" s="3"/>
      <c r="C35" s="1" t="s">
        <v>60</v>
      </c>
      <c r="D35" s="7">
        <v>25</v>
      </c>
      <c r="E35" s="7">
        <v>1.93</v>
      </c>
      <c r="F35" s="7"/>
    </row>
    <row r="36" spans="1:6" ht="14.15" customHeight="1" x14ac:dyDescent="0.35">
      <c r="A36" s="3"/>
      <c r="B36" s="3"/>
      <c r="C36" s="1" t="s">
        <v>77</v>
      </c>
      <c r="D36" s="7">
        <v>150</v>
      </c>
      <c r="E36" s="7">
        <v>0</v>
      </c>
      <c r="F36" s="7"/>
    </row>
    <row r="37" spans="1:6" ht="14.15" customHeight="1" x14ac:dyDescent="0.35">
      <c r="A37" s="3"/>
      <c r="B37" s="3"/>
      <c r="C37" s="1" t="s">
        <v>97</v>
      </c>
      <c r="D37" s="7">
        <v>0</v>
      </c>
      <c r="E37" s="7">
        <v>0</v>
      </c>
      <c r="F37" s="7"/>
    </row>
    <row r="38" spans="1:6" ht="14.15" customHeight="1" x14ac:dyDescent="0.35">
      <c r="A38" s="3"/>
      <c r="B38" s="3"/>
      <c r="C38" s="1" t="s">
        <v>52</v>
      </c>
      <c r="D38" s="7">
        <v>0</v>
      </c>
      <c r="E38" s="7">
        <v>0</v>
      </c>
      <c r="F38" s="7"/>
    </row>
    <row r="39" spans="1:6" ht="14.15" customHeight="1" x14ac:dyDescent="0.35">
      <c r="A39" s="3"/>
      <c r="B39" s="9" t="s">
        <v>47</v>
      </c>
      <c r="C39" s="10"/>
      <c r="D39" s="11">
        <v>360</v>
      </c>
      <c r="E39" s="11">
        <v>91.378256250000007</v>
      </c>
      <c r="F39" s="11"/>
    </row>
    <row r="40" spans="1:6" ht="14.15" customHeight="1" x14ac:dyDescent="0.35">
      <c r="A40" s="3"/>
      <c r="B40" s="3"/>
      <c r="C40" s="1" t="s">
        <v>48</v>
      </c>
      <c r="D40" s="7">
        <v>150</v>
      </c>
      <c r="E40" s="7">
        <v>22.989251250000002</v>
      </c>
      <c r="F40" s="37"/>
    </row>
    <row r="41" spans="1:6" ht="14.15" customHeight="1" x14ac:dyDescent="0.35">
      <c r="A41" s="3"/>
      <c r="B41" s="3"/>
      <c r="C41" s="1" t="s">
        <v>49</v>
      </c>
      <c r="D41" s="7">
        <v>135</v>
      </c>
      <c r="E41" s="7">
        <v>46.555252500000002</v>
      </c>
      <c r="F41" s="37"/>
    </row>
    <row r="42" spans="1:6" ht="14.15" customHeight="1" x14ac:dyDescent="0.35">
      <c r="A42" s="3"/>
      <c r="B42" s="3"/>
      <c r="C42" s="1" t="s">
        <v>50</v>
      </c>
      <c r="D42" s="7">
        <v>75</v>
      </c>
      <c r="E42" s="7">
        <v>21.833752499999999</v>
      </c>
      <c r="F42" s="37"/>
    </row>
    <row r="43" spans="1:6" ht="14.15" customHeight="1" x14ac:dyDescent="0.35">
      <c r="A43" s="3"/>
      <c r="B43" s="3"/>
      <c r="C43" s="1" t="s">
        <v>52</v>
      </c>
      <c r="D43" s="7">
        <v>0</v>
      </c>
      <c r="E43" s="7">
        <v>0</v>
      </c>
      <c r="F43" s="7"/>
    </row>
    <row r="44" spans="1:6" ht="14.15" customHeight="1" x14ac:dyDescent="0.35">
      <c r="A44" s="3"/>
      <c r="B44" s="9" t="s">
        <v>98</v>
      </c>
      <c r="C44" s="10"/>
      <c r="D44" s="11">
        <v>0</v>
      </c>
      <c r="E44" s="11">
        <v>0</v>
      </c>
      <c r="F44" s="11"/>
    </row>
    <row r="45" spans="1:6" ht="14.15" customHeight="1" x14ac:dyDescent="0.35">
      <c r="A45" s="3"/>
      <c r="B45" s="3"/>
      <c r="C45" s="1" t="s">
        <v>99</v>
      </c>
      <c r="D45" s="7">
        <v>0</v>
      </c>
      <c r="E45" s="7">
        <v>0</v>
      </c>
      <c r="F45" s="7"/>
    </row>
    <row r="46" spans="1:6" ht="14.15" customHeight="1" x14ac:dyDescent="0.35">
      <c r="A46" s="3"/>
      <c r="B46" s="3"/>
      <c r="C46" s="1" t="s">
        <v>100</v>
      </c>
      <c r="D46" s="7">
        <v>0</v>
      </c>
      <c r="E46" s="7">
        <v>0</v>
      </c>
      <c r="F46" s="7"/>
    </row>
    <row r="47" spans="1:6" ht="14.15" customHeight="1" x14ac:dyDescent="0.35">
      <c r="A47" s="3"/>
      <c r="B47" s="3"/>
      <c r="C47" s="1" t="s">
        <v>101</v>
      </c>
      <c r="D47" s="7">
        <v>0</v>
      </c>
      <c r="E47" s="7">
        <v>0</v>
      </c>
      <c r="F47" s="7"/>
    </row>
    <row r="48" spans="1:6" ht="14.15" customHeight="1" x14ac:dyDescent="0.35">
      <c r="A48" s="3"/>
      <c r="B48" s="3"/>
      <c r="C48" s="1" t="s">
        <v>52</v>
      </c>
      <c r="D48" s="7">
        <v>0</v>
      </c>
      <c r="E48" s="7">
        <v>0</v>
      </c>
      <c r="F48" s="7"/>
    </row>
    <row r="49" spans="1:6" ht="14.15" customHeight="1" x14ac:dyDescent="0.35">
      <c r="A49" s="3"/>
      <c r="B49" s="9" t="s">
        <v>71</v>
      </c>
      <c r="C49" s="10"/>
      <c r="D49" s="11">
        <v>2600</v>
      </c>
      <c r="E49" s="11">
        <v>0</v>
      </c>
      <c r="F49" s="11"/>
    </row>
    <row r="50" spans="1:6" ht="14.15" customHeight="1" x14ac:dyDescent="0.35">
      <c r="A50" s="3"/>
      <c r="B50" s="3"/>
      <c r="C50" s="1" t="s">
        <v>72</v>
      </c>
      <c r="D50" s="7">
        <v>2000</v>
      </c>
      <c r="E50" s="7">
        <v>0</v>
      </c>
      <c r="F50" s="7"/>
    </row>
    <row r="51" spans="1:6" ht="14.15" customHeight="1" x14ac:dyDescent="0.35">
      <c r="A51" s="3"/>
      <c r="B51" s="3"/>
      <c r="C51" s="1" t="s">
        <v>76</v>
      </c>
      <c r="D51" s="7">
        <v>350</v>
      </c>
      <c r="E51" s="7">
        <v>0</v>
      </c>
      <c r="F51" s="7"/>
    </row>
    <row r="52" spans="1:6" ht="14.15" customHeight="1" x14ac:dyDescent="0.35">
      <c r="A52" s="3"/>
      <c r="B52" s="3"/>
      <c r="C52" s="1" t="s">
        <v>30</v>
      </c>
      <c r="D52" s="7">
        <v>250</v>
      </c>
      <c r="E52" s="7">
        <v>0</v>
      </c>
      <c r="F52" s="7"/>
    </row>
    <row r="53" spans="1:6" ht="14.15" customHeight="1" x14ac:dyDescent="0.35">
      <c r="A53" s="3"/>
      <c r="B53" s="3"/>
      <c r="C53" s="1" t="s">
        <v>52</v>
      </c>
      <c r="D53" s="7">
        <v>0</v>
      </c>
      <c r="E53" s="7">
        <v>0</v>
      </c>
      <c r="F53" s="7"/>
    </row>
    <row r="54" spans="1:6" ht="14.15" customHeight="1" x14ac:dyDescent="0.35">
      <c r="A54" s="3"/>
      <c r="B54" s="9" t="s">
        <v>29</v>
      </c>
      <c r="C54" s="10"/>
      <c r="D54" s="11">
        <v>475</v>
      </c>
      <c r="E54" s="11">
        <v>394.02</v>
      </c>
      <c r="F54" s="11"/>
    </row>
    <row r="55" spans="1:6" ht="14.15" customHeight="1" x14ac:dyDescent="0.35">
      <c r="A55" s="3"/>
      <c r="B55" s="3"/>
      <c r="C55" s="1" t="s">
        <v>40</v>
      </c>
      <c r="D55" s="37">
        <v>225</v>
      </c>
      <c r="E55" s="37">
        <v>151.4</v>
      </c>
      <c r="F55" s="7"/>
    </row>
    <row r="56" spans="1:6" ht="14.15" customHeight="1" x14ac:dyDescent="0.35">
      <c r="A56" s="3"/>
      <c r="B56" s="3"/>
      <c r="C56" s="1" t="s">
        <v>30</v>
      </c>
      <c r="D56" s="7">
        <v>250</v>
      </c>
      <c r="E56" s="7">
        <v>242.62</v>
      </c>
      <c r="F56" s="7"/>
    </row>
    <row r="57" spans="1:6" ht="14.15" customHeight="1" x14ac:dyDescent="0.35">
      <c r="A57" s="3"/>
      <c r="B57" s="3"/>
      <c r="C57" s="1" t="s">
        <v>52</v>
      </c>
      <c r="D57" s="7">
        <v>0</v>
      </c>
      <c r="E57" s="7">
        <v>0</v>
      </c>
      <c r="F57" s="7"/>
    </row>
    <row r="58" spans="1:6" ht="14.15" customHeight="1" x14ac:dyDescent="0.35">
      <c r="A58" s="3"/>
      <c r="B58" s="9" t="s">
        <v>53</v>
      </c>
      <c r="C58" s="10"/>
      <c r="D58" s="11">
        <v>600</v>
      </c>
      <c r="E58" s="11">
        <v>17.600000000000001</v>
      </c>
      <c r="F58" s="11"/>
    </row>
    <row r="59" spans="1:6" ht="14.15" customHeight="1" x14ac:dyDescent="0.35">
      <c r="A59" s="3"/>
      <c r="B59" s="3"/>
      <c r="C59" s="1" t="s">
        <v>70</v>
      </c>
      <c r="D59" s="37">
        <v>75</v>
      </c>
      <c r="E59" s="7">
        <v>0</v>
      </c>
      <c r="F59" s="38"/>
    </row>
    <row r="60" spans="1:6" ht="14.15" customHeight="1" x14ac:dyDescent="0.35">
      <c r="A60" s="3"/>
      <c r="B60" s="3"/>
      <c r="C60" s="1" t="s">
        <v>54</v>
      </c>
      <c r="D60" s="7">
        <v>600</v>
      </c>
      <c r="E60" s="7">
        <v>17.600000000000001</v>
      </c>
      <c r="F60" s="7"/>
    </row>
    <row r="61" spans="1:6" ht="14.15" customHeight="1" x14ac:dyDescent="0.35">
      <c r="A61" s="3"/>
      <c r="B61" s="9" t="s">
        <v>41</v>
      </c>
      <c r="C61" s="10"/>
      <c r="D61" s="11">
        <v>23.8</v>
      </c>
      <c r="E61" s="11">
        <v>29.75</v>
      </c>
      <c r="F61" s="11"/>
    </row>
    <row r="62" spans="1:6" ht="14.15" customHeight="1" x14ac:dyDescent="0.35">
      <c r="A62" s="3"/>
      <c r="B62" s="3"/>
      <c r="C62" s="1" t="s">
        <v>42</v>
      </c>
      <c r="D62" s="7">
        <v>23.8</v>
      </c>
      <c r="E62" s="7">
        <v>29.75</v>
      </c>
      <c r="F62" s="7"/>
    </row>
    <row r="63" spans="1:6" ht="14.15" customHeight="1" x14ac:dyDescent="0.35">
      <c r="A63" s="3"/>
      <c r="B63" s="3"/>
      <c r="C63" s="1" t="s">
        <v>104</v>
      </c>
      <c r="D63" s="7">
        <v>0</v>
      </c>
      <c r="E63" s="7">
        <v>0</v>
      </c>
      <c r="F63" s="7"/>
    </row>
    <row r="64" spans="1:6" ht="14.15" customHeight="1" x14ac:dyDescent="0.35">
      <c r="A64" s="3"/>
      <c r="B64" s="3"/>
      <c r="C64" s="1" t="s">
        <v>105</v>
      </c>
      <c r="D64" s="7">
        <v>0</v>
      </c>
      <c r="E64" s="7">
        <v>0</v>
      </c>
      <c r="F64" s="7"/>
    </row>
    <row r="65" spans="1:6" ht="14.15" customHeight="1" x14ac:dyDescent="0.35">
      <c r="A65" s="3"/>
      <c r="B65" s="3"/>
      <c r="C65" s="1" t="s">
        <v>52</v>
      </c>
      <c r="D65" s="7">
        <v>0</v>
      </c>
      <c r="E65" s="7">
        <v>0</v>
      </c>
      <c r="F65" s="7"/>
    </row>
    <row r="66" spans="1:6" ht="14.15" customHeight="1" x14ac:dyDescent="0.35">
      <c r="A66" s="3"/>
      <c r="B66" s="9" t="s">
        <v>63</v>
      </c>
      <c r="C66" s="10"/>
      <c r="D66" s="11">
        <v>330</v>
      </c>
      <c r="E66" s="11">
        <v>117.23</v>
      </c>
      <c r="F66" s="11"/>
    </row>
    <row r="67" spans="1:6" ht="14.15" customHeight="1" x14ac:dyDescent="0.35">
      <c r="A67" s="3"/>
      <c r="B67" s="3"/>
      <c r="C67" s="1" t="s">
        <v>64</v>
      </c>
      <c r="D67" s="37">
        <v>250</v>
      </c>
      <c r="E67" s="7">
        <v>117.23</v>
      </c>
      <c r="F67" s="37"/>
    </row>
    <row r="68" spans="1:6" ht="14.15" customHeight="1" x14ac:dyDescent="0.35">
      <c r="A68" s="3"/>
      <c r="B68" s="3"/>
      <c r="C68" s="1" t="s">
        <v>62</v>
      </c>
      <c r="D68" s="7">
        <v>80</v>
      </c>
      <c r="E68" s="7">
        <v>0</v>
      </c>
      <c r="F68" s="7"/>
    </row>
    <row r="69" spans="1:6" ht="14.15" customHeight="1" x14ac:dyDescent="0.35">
      <c r="A69" s="3"/>
      <c r="B69" s="3"/>
      <c r="C69" s="1" t="s">
        <v>52</v>
      </c>
      <c r="D69" s="7">
        <v>0</v>
      </c>
      <c r="E69" s="7">
        <v>0</v>
      </c>
      <c r="F69" s="7"/>
    </row>
    <row r="70" spans="1:6" ht="14.15" customHeight="1" x14ac:dyDescent="0.35">
      <c r="A70" s="3"/>
      <c r="B70" s="9" t="s">
        <v>61</v>
      </c>
      <c r="C70" s="10"/>
      <c r="D70" s="11">
        <v>550</v>
      </c>
      <c r="E70" s="11">
        <v>306.53000000000003</v>
      </c>
      <c r="F70" s="11"/>
    </row>
    <row r="71" spans="1:6" ht="14.15" customHeight="1" x14ac:dyDescent="0.35">
      <c r="A71" s="3"/>
      <c r="B71" s="3"/>
      <c r="C71" s="1" t="s">
        <v>72</v>
      </c>
      <c r="D71" s="7">
        <v>0</v>
      </c>
      <c r="E71" s="7">
        <v>0</v>
      </c>
      <c r="F71" s="7"/>
    </row>
    <row r="72" spans="1:6" ht="14.15" customHeight="1" x14ac:dyDescent="0.35">
      <c r="A72" s="3"/>
      <c r="B72" s="3"/>
      <c r="C72" s="1" t="s">
        <v>62</v>
      </c>
      <c r="D72" s="37">
        <v>300</v>
      </c>
      <c r="E72" s="37">
        <v>306.53000000000003</v>
      </c>
      <c r="F72" s="37"/>
    </row>
    <row r="73" spans="1:6" ht="14.15" customHeight="1" x14ac:dyDescent="0.35">
      <c r="A73" s="3"/>
      <c r="B73" s="3"/>
      <c r="C73" s="1" t="s">
        <v>93</v>
      </c>
      <c r="D73" s="39">
        <v>250</v>
      </c>
      <c r="E73" s="7">
        <v>0</v>
      </c>
      <c r="F73" s="7"/>
    </row>
    <row r="74" spans="1:6" ht="14.15" customHeight="1" x14ac:dyDescent="0.35">
      <c r="A74" s="3"/>
      <c r="B74" s="3"/>
      <c r="C74" s="1" t="s">
        <v>52</v>
      </c>
      <c r="D74" s="7">
        <v>0</v>
      </c>
      <c r="E74" s="7">
        <v>0</v>
      </c>
      <c r="F74" s="7"/>
    </row>
    <row r="75" spans="1:6" ht="14.15" customHeight="1" x14ac:dyDescent="0.35">
      <c r="A75" s="3"/>
      <c r="B75" s="9" t="s">
        <v>45</v>
      </c>
      <c r="C75" s="10"/>
      <c r="D75" s="11">
        <v>65</v>
      </c>
      <c r="E75" s="11">
        <v>45.18</v>
      </c>
      <c r="F75" s="11"/>
    </row>
    <row r="76" spans="1:6" ht="14.15" customHeight="1" x14ac:dyDescent="0.35">
      <c r="A76" s="3"/>
      <c r="B76" s="3"/>
      <c r="C76" s="1" t="s">
        <v>46</v>
      </c>
      <c r="D76" s="7">
        <v>25</v>
      </c>
      <c r="E76" s="39">
        <v>9.25</v>
      </c>
      <c r="F76" s="7"/>
    </row>
    <row r="77" spans="1:6" ht="14.15" customHeight="1" x14ac:dyDescent="0.35">
      <c r="A77" s="3"/>
      <c r="B77" s="3"/>
      <c r="C77" s="1" t="s">
        <v>73</v>
      </c>
      <c r="D77" s="7">
        <v>0</v>
      </c>
      <c r="E77" s="39">
        <v>0</v>
      </c>
      <c r="F77" s="7"/>
    </row>
    <row r="78" spans="1:6" ht="14.15" customHeight="1" x14ac:dyDescent="0.35">
      <c r="A78" s="3"/>
      <c r="B78" s="3"/>
      <c r="C78" s="1" t="s">
        <v>57</v>
      </c>
      <c r="D78" s="7">
        <v>15</v>
      </c>
      <c r="E78" s="39">
        <v>0</v>
      </c>
      <c r="F78" s="7"/>
    </row>
    <row r="79" spans="1:6" ht="14.15" customHeight="1" x14ac:dyDescent="0.35">
      <c r="A79" s="3"/>
      <c r="B79" s="3"/>
      <c r="C79" s="1" t="s">
        <v>55</v>
      </c>
      <c r="D79" s="7">
        <v>25</v>
      </c>
      <c r="E79" s="39">
        <v>35.93</v>
      </c>
      <c r="F79" s="7"/>
    </row>
    <row r="80" spans="1:6" ht="14.15" customHeight="1" x14ac:dyDescent="0.35">
      <c r="A80" s="3"/>
      <c r="B80" s="3"/>
      <c r="C80" s="1" t="s">
        <v>52</v>
      </c>
      <c r="D80" s="7">
        <v>0</v>
      </c>
      <c r="E80" s="39">
        <v>0</v>
      </c>
      <c r="F80" s="7"/>
    </row>
    <row r="81" spans="1:6" ht="5.9" customHeight="1" thickBot="1" x14ac:dyDescent="0.4">
      <c r="A81" s="3"/>
      <c r="B81" s="3"/>
      <c r="C81" s="1"/>
      <c r="D81" s="7"/>
      <c r="E81" s="7"/>
      <c r="F81" s="7"/>
    </row>
    <row r="82" spans="1:6" ht="17.149999999999999" customHeight="1" thickTop="1" thickBot="1" x14ac:dyDescent="0.4">
      <c r="A82" s="13" t="s">
        <v>106</v>
      </c>
      <c r="B82" s="13"/>
      <c r="C82" s="14"/>
      <c r="D82" s="15">
        <v>5178.8</v>
      </c>
      <c r="E82" s="15">
        <v>1003.6183</v>
      </c>
      <c r="F82" s="15"/>
    </row>
    <row r="83" spans="1:6" ht="14.15" customHeight="1" x14ac:dyDescent="0.35">
      <c r="A83" s="3"/>
      <c r="B83" s="3"/>
      <c r="C83" s="1"/>
      <c r="D83" s="5"/>
      <c r="E83" s="5"/>
      <c r="F83" s="5"/>
    </row>
    <row r="84" spans="1:6" ht="14.5" customHeight="1" thickBot="1" x14ac:dyDescent="0.4">
      <c r="A84" s="3"/>
      <c r="B84" s="3"/>
      <c r="C84" s="1"/>
      <c r="D84" s="5"/>
      <c r="E84" s="5"/>
      <c r="F84" s="5"/>
    </row>
    <row r="85" spans="1:6" ht="14.15" customHeight="1" x14ac:dyDescent="0.35">
      <c r="A85" s="3"/>
      <c r="B85" s="3"/>
      <c r="C85" s="1"/>
      <c r="D85" s="96" t="s">
        <v>90</v>
      </c>
      <c r="E85" s="96"/>
      <c r="F85" s="96"/>
    </row>
    <row r="86" spans="1:6" ht="14.5" customHeight="1" thickBot="1" x14ac:dyDescent="0.4">
      <c r="A86" s="3"/>
      <c r="B86" s="3"/>
      <c r="C86" s="1"/>
      <c r="D86" s="97"/>
      <c r="E86" s="97"/>
      <c r="F86" s="97"/>
    </row>
    <row r="87" spans="1:6" ht="14.15" customHeight="1" x14ac:dyDescent="0.35">
      <c r="A87" s="3" t="s">
        <v>6</v>
      </c>
      <c r="B87" s="3"/>
      <c r="C87" s="1"/>
      <c r="D87" s="120">
        <v>989.19999999999982</v>
      </c>
      <c r="E87" s="120">
        <v>87.011700000000133</v>
      </c>
      <c r="F87" s="120"/>
    </row>
    <row r="88" spans="1:6" ht="14.5" customHeight="1" thickBot="1" x14ac:dyDescent="0.4">
      <c r="A88" s="3" t="s">
        <v>7</v>
      </c>
      <c r="B88" s="3"/>
      <c r="C88" s="1"/>
      <c r="D88" s="121"/>
      <c r="E88" s="121"/>
      <c r="F88" s="121"/>
    </row>
    <row r="89" spans="1:6" ht="14.15" customHeight="1" x14ac:dyDescent="0.35">
      <c r="A89" s="3"/>
      <c r="B89" s="3"/>
      <c r="C89" s="1"/>
      <c r="D89" s="5"/>
      <c r="E89" s="5"/>
      <c r="F89" s="5"/>
    </row>
    <row r="90" spans="1:6" ht="14.15" customHeight="1" x14ac:dyDescent="0.35">
      <c r="A90" s="3"/>
      <c r="B90" s="3"/>
      <c r="C90" s="1"/>
      <c r="D90" s="5"/>
      <c r="E90" s="5"/>
      <c r="F90" s="5"/>
    </row>
    <row r="91" spans="1:6" ht="14.15" customHeight="1" x14ac:dyDescent="0.35">
      <c r="A91" s="3"/>
      <c r="B91" s="3"/>
      <c r="C91" s="1"/>
      <c r="D91" s="5"/>
      <c r="E91" s="5"/>
      <c r="F91" s="5"/>
    </row>
    <row r="92" spans="1:6" ht="14.15" customHeight="1" x14ac:dyDescent="0.35">
      <c r="A92" s="3"/>
      <c r="B92" s="3"/>
      <c r="C92" s="1"/>
      <c r="D92" s="5"/>
      <c r="E92" s="5"/>
      <c r="F92" s="5"/>
    </row>
    <row r="93" spans="1:6" ht="14.15" customHeight="1" x14ac:dyDescent="0.35">
      <c r="A93" s="3"/>
      <c r="B93" s="3"/>
      <c r="C93" s="1"/>
      <c r="D93" s="5"/>
      <c r="E93" s="5"/>
      <c r="F93" s="5"/>
    </row>
    <row r="94" spans="1:6" ht="14.15" customHeight="1" x14ac:dyDescent="0.35">
      <c r="A94" s="3"/>
      <c r="B94" s="3"/>
      <c r="C94" s="1"/>
      <c r="D94" s="5"/>
      <c r="E94" s="5"/>
      <c r="F94" s="5"/>
    </row>
    <row r="95" spans="1:6" ht="14.15" customHeight="1" x14ac:dyDescent="0.35">
      <c r="A95" s="3"/>
      <c r="B95" s="3"/>
      <c r="C95" s="1"/>
      <c r="D95" s="5"/>
      <c r="E95" s="5"/>
      <c r="F95" s="5"/>
    </row>
    <row r="96" spans="1:6" ht="14.15" customHeight="1" x14ac:dyDescent="0.35">
      <c r="A96" s="3"/>
      <c r="B96" s="3"/>
      <c r="C96" s="1"/>
      <c r="D96" s="5"/>
      <c r="E96" s="5"/>
      <c r="F96" s="5"/>
    </row>
    <row r="97" spans="1:6" ht="14.15" customHeight="1" x14ac:dyDescent="0.35">
      <c r="A97" s="3"/>
      <c r="B97" s="3"/>
      <c r="C97" s="1"/>
      <c r="D97" s="5"/>
      <c r="E97" s="5"/>
      <c r="F97" s="5"/>
    </row>
    <row r="98" spans="1:6" ht="14.15" customHeight="1" x14ac:dyDescent="0.35">
      <c r="A98" s="3"/>
      <c r="B98" s="3"/>
      <c r="C98" s="1"/>
      <c r="D98" s="5"/>
      <c r="E98" s="5"/>
      <c r="F98" s="5"/>
    </row>
    <row r="99" spans="1:6" ht="14.15" customHeight="1" x14ac:dyDescent="0.35">
      <c r="A99" s="3"/>
      <c r="B99" s="3"/>
      <c r="C99" s="1"/>
      <c r="D99" s="5"/>
      <c r="E99" s="5"/>
      <c r="F99" s="5"/>
    </row>
    <row r="100" spans="1:6" ht="14.15" customHeight="1" x14ac:dyDescent="0.35">
      <c r="A100" s="3"/>
      <c r="B100" s="3"/>
      <c r="C100" s="1"/>
      <c r="D100" s="5"/>
      <c r="E100" s="5"/>
      <c r="F100" s="5"/>
    </row>
    <row r="101" spans="1:6" ht="14.15" customHeight="1" x14ac:dyDescent="0.35">
      <c r="A101" s="3"/>
      <c r="B101" s="3"/>
      <c r="C101" s="1"/>
      <c r="D101" s="5"/>
      <c r="E101" s="5"/>
      <c r="F101" s="5"/>
    </row>
    <row r="102" spans="1:6" ht="14.15" customHeight="1" x14ac:dyDescent="0.35">
      <c r="A102" s="3"/>
      <c r="B102" s="3"/>
      <c r="C102" s="1"/>
      <c r="D102" s="5"/>
      <c r="E102" s="5"/>
      <c r="F102" s="5"/>
    </row>
    <row r="103" spans="1:6" ht="14.15" customHeight="1" x14ac:dyDescent="0.35">
      <c r="A103" s="3"/>
      <c r="B103" s="3"/>
      <c r="C103" s="1"/>
      <c r="D103" s="5"/>
      <c r="E103" s="5"/>
      <c r="F103" s="5"/>
    </row>
    <row r="104" spans="1:6" ht="14.15" customHeight="1" x14ac:dyDescent="0.35">
      <c r="A104" s="3"/>
      <c r="B104" s="3"/>
      <c r="C104" s="1"/>
      <c r="D104" s="5"/>
      <c r="E104" s="5"/>
      <c r="F104" s="5"/>
    </row>
    <row r="105" spans="1:6" ht="14.15" customHeight="1" x14ac:dyDescent="0.35">
      <c r="A105" s="3"/>
      <c r="B105" s="3"/>
      <c r="C105" s="1"/>
      <c r="D105" s="5"/>
      <c r="E105" s="5"/>
      <c r="F105" s="5"/>
    </row>
    <row r="106" spans="1:6" ht="14.15" customHeight="1" x14ac:dyDescent="0.35">
      <c r="A106" s="3"/>
      <c r="B106" s="3"/>
      <c r="C106" s="1"/>
      <c r="D106" s="5"/>
      <c r="E106" s="5"/>
      <c r="F106" s="5"/>
    </row>
    <row r="107" spans="1:6" ht="14.15" customHeight="1" x14ac:dyDescent="0.35">
      <c r="A107" s="3"/>
      <c r="B107" s="3"/>
      <c r="C107" s="1"/>
      <c r="D107" s="5"/>
      <c r="E107" s="5"/>
      <c r="F107" s="5"/>
    </row>
    <row r="108" spans="1:6" ht="14.15" customHeight="1" x14ac:dyDescent="0.35">
      <c r="A108" s="3"/>
      <c r="B108" s="3"/>
      <c r="C108" s="1"/>
      <c r="D108" s="5"/>
      <c r="E108" s="5"/>
      <c r="F108" s="5"/>
    </row>
    <row r="109" spans="1:6" ht="14.15" customHeight="1" x14ac:dyDescent="0.35">
      <c r="A109" s="3"/>
      <c r="B109" s="3"/>
      <c r="C109" s="1"/>
      <c r="D109" s="5"/>
      <c r="E109" s="5"/>
      <c r="F109" s="5"/>
    </row>
    <row r="110" spans="1:6" ht="14.15" customHeight="1" x14ac:dyDescent="0.35">
      <c r="A110" s="3"/>
      <c r="B110" s="3"/>
      <c r="C110" s="1"/>
      <c r="D110" s="5"/>
      <c r="E110" s="5"/>
      <c r="F110" s="5"/>
    </row>
    <row r="111" spans="1:6" ht="14.15" customHeight="1" x14ac:dyDescent="0.35">
      <c r="A111" s="3"/>
      <c r="B111" s="3"/>
      <c r="C111" s="1"/>
      <c r="D111" s="5"/>
      <c r="E111" s="5"/>
      <c r="F111" s="5"/>
    </row>
    <row r="112" spans="1:6" ht="14.15" customHeight="1" x14ac:dyDescent="0.35">
      <c r="A112" s="3"/>
      <c r="B112" s="3"/>
      <c r="C112" s="1"/>
      <c r="D112" s="5"/>
      <c r="E112" s="5"/>
      <c r="F112" s="5"/>
    </row>
    <row r="113" spans="1:6" ht="14.15" customHeight="1" x14ac:dyDescent="0.35">
      <c r="A113" s="3"/>
      <c r="B113" s="3"/>
      <c r="C113" s="1"/>
      <c r="D113" s="5"/>
      <c r="E113" s="5"/>
      <c r="F113" s="5"/>
    </row>
    <row r="114" spans="1:6" ht="14.15" customHeight="1" x14ac:dyDescent="0.35">
      <c r="A114" s="3"/>
      <c r="B114" s="3"/>
      <c r="C114" s="1"/>
      <c r="D114" s="5"/>
      <c r="E114" s="5"/>
      <c r="F114" s="5"/>
    </row>
    <row r="115" spans="1:6" ht="14.15" customHeight="1" x14ac:dyDescent="0.35">
      <c r="A115" s="3"/>
      <c r="B115" s="3"/>
      <c r="C115" s="1"/>
      <c r="D115" s="5"/>
      <c r="E115" s="5"/>
      <c r="F115" s="5"/>
    </row>
    <row r="116" spans="1:6" ht="14.15" customHeight="1" x14ac:dyDescent="0.35">
      <c r="A116" s="3"/>
      <c r="B116" s="3"/>
      <c r="C116" s="1"/>
      <c r="D116" s="5"/>
      <c r="E116" s="5"/>
      <c r="F116" s="5"/>
    </row>
    <row r="117" spans="1:6" ht="14.15" customHeight="1" x14ac:dyDescent="0.35">
      <c r="A117" s="3"/>
      <c r="B117" s="3"/>
      <c r="C117" s="1"/>
      <c r="D117" s="5"/>
      <c r="E117" s="5"/>
      <c r="F117" s="5"/>
    </row>
    <row r="118" spans="1:6" ht="14.15" customHeight="1" x14ac:dyDescent="0.35">
      <c r="A118" s="3"/>
      <c r="B118" s="3"/>
      <c r="C118" s="1"/>
      <c r="D118" s="5"/>
      <c r="E118" s="5"/>
      <c r="F118" s="5"/>
    </row>
    <row r="119" spans="1:6" ht="14.15" customHeight="1" x14ac:dyDescent="0.35">
      <c r="A119" s="3"/>
      <c r="B119" s="3"/>
      <c r="C119" s="1"/>
      <c r="D119" s="5"/>
      <c r="E119" s="5"/>
      <c r="F119" s="5"/>
    </row>
    <row r="120" spans="1:6" ht="14.15" customHeight="1" x14ac:dyDescent="0.35">
      <c r="A120" s="3"/>
      <c r="B120" s="3"/>
      <c r="C120" s="1"/>
      <c r="D120" s="5"/>
      <c r="E120" s="5"/>
      <c r="F120" s="5"/>
    </row>
    <row r="121" spans="1:6" ht="14.15" customHeight="1" x14ac:dyDescent="0.35">
      <c r="A121" s="3"/>
      <c r="B121" s="3"/>
      <c r="C121" s="1"/>
      <c r="D121" s="5"/>
      <c r="E121" s="5"/>
      <c r="F121" s="5"/>
    </row>
    <row r="122" spans="1:6" ht="14.15" customHeight="1" x14ac:dyDescent="0.35">
      <c r="A122" s="3"/>
      <c r="B122" s="3"/>
      <c r="C122" s="1"/>
      <c r="D122" s="5"/>
      <c r="E122" s="5"/>
      <c r="F122" s="5"/>
    </row>
    <row r="123" spans="1:6" ht="14.15" customHeight="1" x14ac:dyDescent="0.35">
      <c r="A123" s="3"/>
      <c r="B123" s="3"/>
      <c r="C123" s="1"/>
      <c r="D123" s="5"/>
      <c r="E123" s="5"/>
      <c r="F123" s="5"/>
    </row>
    <row r="124" spans="1:6" ht="14.15" customHeight="1" x14ac:dyDescent="0.35">
      <c r="A124" s="3"/>
      <c r="B124" s="3"/>
      <c r="C124" s="1"/>
      <c r="D124" s="5"/>
      <c r="E124" s="5"/>
      <c r="F124" s="5"/>
    </row>
    <row r="125" spans="1:6" ht="14.15" customHeight="1" x14ac:dyDescent="0.35">
      <c r="A125" s="3"/>
      <c r="B125" s="3"/>
      <c r="C125" s="1"/>
      <c r="D125" s="5"/>
      <c r="E125" s="5"/>
      <c r="F125" s="5"/>
    </row>
    <row r="126" spans="1:6" ht="14.15" customHeight="1" x14ac:dyDescent="0.35">
      <c r="A126" s="3"/>
      <c r="B126" s="3"/>
      <c r="C126" s="1"/>
      <c r="D126" s="5"/>
      <c r="E126" s="5"/>
      <c r="F126" s="5"/>
    </row>
    <row r="127" spans="1:6" ht="14.15" customHeight="1" x14ac:dyDescent="0.35">
      <c r="A127" s="3"/>
      <c r="B127" s="3"/>
      <c r="C127" s="1"/>
      <c r="D127" s="5"/>
      <c r="E127" s="5"/>
      <c r="F127" s="5"/>
    </row>
    <row r="128" spans="1:6" ht="14.15" customHeight="1" x14ac:dyDescent="0.35">
      <c r="A128" s="3"/>
      <c r="B128" s="3"/>
      <c r="C128" s="1"/>
      <c r="D128" s="5"/>
      <c r="E128" s="5"/>
      <c r="F128" s="5"/>
    </row>
    <row r="129" spans="1:6" ht="14.15" customHeight="1" x14ac:dyDescent="0.35">
      <c r="A129" s="3"/>
      <c r="B129" s="3"/>
      <c r="C129" s="1"/>
      <c r="D129" s="5"/>
      <c r="E129" s="5"/>
      <c r="F129" s="5"/>
    </row>
    <row r="130" spans="1:6" ht="14.15" customHeight="1" x14ac:dyDescent="0.35">
      <c r="A130" s="3"/>
      <c r="B130" s="3"/>
      <c r="C130" s="1"/>
      <c r="D130" s="5"/>
      <c r="E130" s="5"/>
      <c r="F130" s="5"/>
    </row>
    <row r="131" spans="1:6" ht="14.15" customHeight="1" x14ac:dyDescent="0.35">
      <c r="A131" s="3"/>
      <c r="B131" s="3"/>
      <c r="C131" s="1"/>
      <c r="D131" s="5"/>
      <c r="E131" s="5"/>
      <c r="F131" s="5"/>
    </row>
    <row r="132" spans="1:6" ht="14.15" customHeight="1" x14ac:dyDescent="0.35">
      <c r="A132" s="3"/>
      <c r="B132" s="3"/>
      <c r="C132" s="1"/>
      <c r="D132" s="5"/>
      <c r="E132" s="5"/>
      <c r="F132" s="5"/>
    </row>
    <row r="133" spans="1:6" ht="14.15" customHeight="1" x14ac:dyDescent="0.35">
      <c r="A133" s="3"/>
      <c r="B133" s="3"/>
      <c r="C133" s="1"/>
      <c r="D133" s="5"/>
      <c r="E133" s="5"/>
      <c r="F133" s="5"/>
    </row>
    <row r="134" spans="1:6" ht="14.15" customHeight="1" x14ac:dyDescent="0.35">
      <c r="A134" s="3"/>
      <c r="B134" s="3"/>
      <c r="C134" s="1"/>
      <c r="D134" s="5"/>
      <c r="E134" s="5"/>
      <c r="F134" s="5"/>
    </row>
    <row r="135" spans="1:6" ht="14.15" customHeight="1" x14ac:dyDescent="0.35">
      <c r="A135" s="3"/>
      <c r="B135" s="3"/>
      <c r="C135" s="1"/>
      <c r="D135" s="5"/>
      <c r="E135" s="5"/>
      <c r="F135" s="5"/>
    </row>
    <row r="136" spans="1:6" ht="14.15" customHeight="1" x14ac:dyDescent="0.35">
      <c r="A136" s="3"/>
      <c r="B136" s="3"/>
      <c r="C136" s="1"/>
      <c r="D136" s="5"/>
      <c r="E136" s="5"/>
      <c r="F136" s="5"/>
    </row>
    <row r="137" spans="1:6" ht="14.15" customHeight="1" x14ac:dyDescent="0.35">
      <c r="A137" s="3"/>
      <c r="B137" s="3"/>
      <c r="C137" s="1"/>
      <c r="D137" s="5"/>
      <c r="E137" s="5"/>
      <c r="F137" s="5"/>
    </row>
    <row r="138" spans="1:6" ht="14.15" customHeight="1" x14ac:dyDescent="0.35">
      <c r="A138" s="3"/>
      <c r="B138" s="3"/>
      <c r="C138" s="1"/>
      <c r="D138" s="5"/>
      <c r="E138" s="5"/>
      <c r="F138" s="5"/>
    </row>
    <row r="139" spans="1:6" ht="14.15" customHeight="1" x14ac:dyDescent="0.35">
      <c r="A139" s="3"/>
      <c r="B139" s="3"/>
      <c r="C139" s="1"/>
      <c r="D139" s="5"/>
      <c r="E139" s="5"/>
      <c r="F139" s="5"/>
    </row>
    <row r="140" spans="1:6" ht="14.15" customHeight="1" x14ac:dyDescent="0.35">
      <c r="A140" s="3"/>
      <c r="B140" s="3"/>
      <c r="C140" s="1"/>
      <c r="D140" s="5"/>
      <c r="E140" s="5"/>
      <c r="F140" s="5"/>
    </row>
    <row r="141" spans="1:6" ht="14.15" customHeight="1" x14ac:dyDescent="0.35">
      <c r="A141" s="3"/>
      <c r="B141" s="3"/>
      <c r="C141" s="1"/>
      <c r="D141" s="5"/>
      <c r="E141" s="5"/>
      <c r="F141" s="5"/>
    </row>
    <row r="142" spans="1:6" ht="14.15" customHeight="1" x14ac:dyDescent="0.35">
      <c r="A142" s="3"/>
      <c r="B142" s="3"/>
      <c r="C142" s="1"/>
      <c r="D142" s="5"/>
      <c r="E142" s="5"/>
      <c r="F142" s="5"/>
    </row>
    <row r="143" spans="1:6" ht="14.15" customHeight="1" x14ac:dyDescent="0.35">
      <c r="A143" s="3"/>
      <c r="B143" s="3"/>
      <c r="C143" s="1"/>
      <c r="D143" s="5"/>
      <c r="E143" s="5"/>
      <c r="F143" s="5"/>
    </row>
    <row r="144" spans="1:6" ht="14.15" customHeight="1" x14ac:dyDescent="0.35">
      <c r="A144" s="3"/>
      <c r="B144" s="3"/>
      <c r="C144" s="1"/>
      <c r="D144" s="5"/>
      <c r="E144" s="5"/>
      <c r="F144" s="5"/>
    </row>
    <row r="145" spans="1:6" ht="14.15" customHeight="1" x14ac:dyDescent="0.35">
      <c r="A145" s="3"/>
      <c r="B145" s="3"/>
      <c r="C145" s="1"/>
      <c r="D145" s="5"/>
      <c r="E145" s="5"/>
      <c r="F145" s="5"/>
    </row>
    <row r="146" spans="1:6" ht="14.15" customHeight="1" x14ac:dyDescent="0.35">
      <c r="A146" s="3"/>
      <c r="B146" s="3"/>
      <c r="C146" s="1"/>
      <c r="D146" s="5"/>
      <c r="E146" s="5"/>
      <c r="F146" s="5"/>
    </row>
    <row r="147" spans="1:6" ht="14.15" customHeight="1" x14ac:dyDescent="0.35">
      <c r="A147" s="3"/>
      <c r="B147" s="3"/>
      <c r="C147" s="1"/>
      <c r="D147" s="5"/>
      <c r="E147" s="5"/>
      <c r="F147" s="5"/>
    </row>
    <row r="148" spans="1:6" ht="14.15" customHeight="1" x14ac:dyDescent="0.35">
      <c r="A148" s="3"/>
      <c r="B148" s="3"/>
      <c r="C148" s="1"/>
      <c r="D148" s="5"/>
      <c r="E148" s="5"/>
      <c r="F148" s="5"/>
    </row>
    <row r="149" spans="1:6" ht="14.15" customHeight="1" x14ac:dyDescent="0.35">
      <c r="A149" s="3"/>
      <c r="B149" s="3"/>
      <c r="C149" s="1"/>
      <c r="D149" s="5"/>
      <c r="E149" s="5"/>
      <c r="F149" s="5"/>
    </row>
    <row r="150" spans="1:6" ht="14.15" customHeight="1" x14ac:dyDescent="0.35">
      <c r="A150" s="3"/>
      <c r="B150" s="3"/>
      <c r="C150" s="1"/>
      <c r="D150" s="5"/>
      <c r="E150" s="5"/>
      <c r="F150" s="5"/>
    </row>
    <row r="151" spans="1:6" ht="14.15" customHeight="1" x14ac:dyDescent="0.35"/>
    <row r="152" spans="1:6" ht="14.15" customHeight="1" x14ac:dyDescent="0.35"/>
    <row r="153" spans="1:6" ht="14.15" customHeight="1" x14ac:dyDescent="0.35"/>
    <row r="154" spans="1:6" ht="14.15" customHeight="1" x14ac:dyDescent="0.35"/>
    <row r="155" spans="1:6" ht="14.15" customHeight="1" x14ac:dyDescent="0.35"/>
    <row r="156" spans="1:6" ht="14.15" customHeight="1" x14ac:dyDescent="0.35"/>
    <row r="157" spans="1:6" ht="14.15" customHeight="1" x14ac:dyDescent="0.35"/>
    <row r="158" spans="1:6" ht="14.15" customHeight="1" x14ac:dyDescent="0.35"/>
    <row r="159" spans="1:6" ht="14.15" customHeight="1" x14ac:dyDescent="0.35"/>
    <row r="160" spans="1:6" ht="14.15" customHeight="1" x14ac:dyDescent="0.35"/>
    <row r="161" ht="14.15" customHeight="1" x14ac:dyDescent="0.35"/>
    <row r="162" ht="14.15" customHeight="1" x14ac:dyDescent="0.35"/>
    <row r="163" ht="14.15" customHeight="1" x14ac:dyDescent="0.35"/>
    <row r="164" ht="14.15" customHeight="1" x14ac:dyDescent="0.35"/>
    <row r="165" ht="14.15" customHeight="1" x14ac:dyDescent="0.35"/>
    <row r="166" ht="14.15" customHeight="1" x14ac:dyDescent="0.35"/>
    <row r="167" ht="14.15" customHeight="1" x14ac:dyDescent="0.35"/>
    <row r="168" ht="14.15" customHeight="1" x14ac:dyDescent="0.35"/>
    <row r="169" ht="14.15" customHeight="1" x14ac:dyDescent="0.35"/>
    <row r="170" ht="14.15" customHeight="1" x14ac:dyDescent="0.35"/>
    <row r="171" ht="14.15" customHeight="1" x14ac:dyDescent="0.35"/>
    <row r="172" ht="14.15" customHeight="1" x14ac:dyDescent="0.35"/>
    <row r="173" ht="14.15" customHeight="1" x14ac:dyDescent="0.35"/>
    <row r="174" ht="14.15" customHeight="1" x14ac:dyDescent="0.35"/>
    <row r="175" ht="14.15" customHeight="1" x14ac:dyDescent="0.35"/>
    <row r="176" ht="14.15" customHeight="1" x14ac:dyDescent="0.35"/>
    <row r="177" ht="14.15" customHeight="1" x14ac:dyDescent="0.35"/>
    <row r="178" ht="14.15" customHeight="1" x14ac:dyDescent="0.35"/>
    <row r="179" ht="14.15" customHeight="1" x14ac:dyDescent="0.35"/>
    <row r="180" ht="14.15" customHeight="1" x14ac:dyDescent="0.35"/>
    <row r="181" ht="14.15" customHeight="1" x14ac:dyDescent="0.35"/>
    <row r="182" ht="14.15" customHeight="1" x14ac:dyDescent="0.35"/>
    <row r="183" ht="14.15" customHeight="1" x14ac:dyDescent="0.35"/>
    <row r="184" ht="14.15" customHeight="1" x14ac:dyDescent="0.35"/>
    <row r="185" ht="14.15" customHeight="1" x14ac:dyDescent="0.35"/>
    <row r="186" ht="14.15" customHeight="1" x14ac:dyDescent="0.35"/>
    <row r="187" ht="14.15" customHeight="1" x14ac:dyDescent="0.35"/>
    <row r="188" ht="14.15" customHeight="1" x14ac:dyDescent="0.35"/>
    <row r="189" ht="14.15" customHeight="1" x14ac:dyDescent="0.35"/>
    <row r="190" ht="14.15" customHeight="1" x14ac:dyDescent="0.35"/>
    <row r="191" ht="14.15" customHeight="1" x14ac:dyDescent="0.35"/>
    <row r="192" ht="14.15" customHeight="1" x14ac:dyDescent="0.35"/>
    <row r="193" ht="14.15" customHeight="1" x14ac:dyDescent="0.35"/>
    <row r="194" ht="14.15" customHeight="1" x14ac:dyDescent="0.35"/>
    <row r="195" ht="14.15" customHeight="1" x14ac:dyDescent="0.35"/>
    <row r="196" ht="14.15" customHeight="1" x14ac:dyDescent="0.35"/>
    <row r="197" ht="14.15" customHeight="1" x14ac:dyDescent="0.35"/>
    <row r="198" ht="14.15" customHeight="1" x14ac:dyDescent="0.35"/>
    <row r="199" ht="14.15" customHeight="1" x14ac:dyDescent="0.35"/>
    <row r="200" ht="14.15" customHeight="1" x14ac:dyDescent="0.35"/>
  </sheetData>
  <sheetProtection sheet="1" objects="1" scenarios="1"/>
  <mergeCells count="12">
    <mergeCell ref="D85:D86"/>
    <mergeCell ref="E85:E86"/>
    <mergeCell ref="F85:F86"/>
    <mergeCell ref="D87:D88"/>
    <mergeCell ref="E87:E88"/>
    <mergeCell ref="F87:F88"/>
    <mergeCell ref="F4:F5"/>
    <mergeCell ref="D4:D5"/>
    <mergeCell ref="E4:E5"/>
    <mergeCell ref="D30:D31"/>
    <mergeCell ref="E30:E31"/>
    <mergeCell ref="F30:F31"/>
  </mergeCells>
  <conditionalFormatting sqref="A1:A2">
    <cfRule type="containsText" dxfId="0" priority="1" operator="containsText" text="ERREUR">
      <formula>NOT(ISERROR(SEARCH("ERREUR",A1)))</formula>
    </cfRule>
  </conditionalFormatting>
  <pageMargins left="0.70866141732283472" right="0.70866141732283472" top="1.3385826771653544" bottom="0.74803149606299213" header="0.31496062992125984" footer="0.31496062992125984"/>
  <pageSetup orientation="portrait" r:id="rId1"/>
  <headerFooter>
    <oddHeader>&amp;L&amp;G&amp;C&amp;"Arial,Bold"&amp;12Département de génie électrique 
et de génie informatique de 
l'Université du Québec à Trois-Rivières
&amp;R&amp;G</oddHeader>
    <oddFooter>&amp;L&amp;10Préparé par Sébastien Cabana le &amp;D&amp;R&amp;10Page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Produire_Etats_Financiers">
                <anchor moveWithCells="1" sizeWithCells="1">
                  <from>
                    <xdr:col>5</xdr:col>
                    <xdr:colOff>565150</xdr:colOff>
                    <xdr:row>0</xdr:row>
                    <xdr:rowOff>31750</xdr:rowOff>
                  </from>
                  <to>
                    <xdr:col>6</xdr:col>
                    <xdr:colOff>628650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E747F-F9C3-45F6-A340-F48C724FAB8C}">
  <sheetPr codeName="Sheet6">
    <tabColor theme="1"/>
  </sheetPr>
  <dimension ref="A1:Z51"/>
  <sheetViews>
    <sheetView workbookViewId="0">
      <selection activeCell="F28" sqref="F28"/>
    </sheetView>
  </sheetViews>
  <sheetFormatPr defaultColWidth="18.54296875" defaultRowHeight="14.5" x14ac:dyDescent="0.35"/>
  <cols>
    <col min="1" max="1" width="25.54296875" customWidth="1"/>
    <col min="2" max="2" width="3.7265625" customWidth="1"/>
  </cols>
  <sheetData>
    <row r="1" spans="1:26" x14ac:dyDescent="0.35">
      <c r="A1" t="s">
        <v>114</v>
      </c>
      <c r="C1" s="18" t="str" cm="1">
        <f t="array" ref="C1:Z1">TRANSPOSE(categories)</f>
        <v>Financement</v>
      </c>
      <c r="D1" s="18" t="str">
        <v>Produits d'événements</v>
      </c>
      <c r="E1" s="18" t="str">
        <v>Produits d'intérêts</v>
      </c>
      <c r="F1" s="18" t="str">
        <v>Ventes diverses</v>
      </c>
      <c r="G1" s="18" t="str">
        <v>Activités</v>
      </c>
      <c r="H1" s="18" t="str">
        <v>Club Café</v>
      </c>
      <c r="I1" s="18" t="str">
        <v>Concours</v>
      </c>
      <c r="J1" s="18" t="str">
        <v>CS Games</v>
      </c>
      <c r="K1" s="18" t="str">
        <v>Comité exécutif</v>
      </c>
      <c r="L1" s="18" t="str">
        <v>Charges d'événements</v>
      </c>
      <c r="M1" s="18" t="str">
        <v>Frais bancaires</v>
      </c>
      <c r="N1" s="18" t="str">
        <v>GégiSport</v>
      </c>
      <c r="O1" s="18" t="str">
        <v>IEEE Xtreme</v>
      </c>
      <c r="P1" s="18" t="str">
        <v>Local McNaughton</v>
      </c>
      <c r="Q1" s="18" t="str">
        <v/>
      </c>
      <c r="R1" s="18" t="str">
        <v/>
      </c>
      <c r="S1" s="18" t="str">
        <v/>
      </c>
      <c r="T1" s="18" t="str">
        <v/>
      </c>
      <c r="U1" s="18" t="str">
        <v/>
      </c>
      <c r="V1" s="18" t="str">
        <v/>
      </c>
      <c r="W1" s="18" t="str">
        <v/>
      </c>
      <c r="X1" s="18" t="str">
        <v/>
      </c>
      <c r="Y1" s="18" t="str">
        <v/>
      </c>
      <c r="Z1" s="18" t="str">
        <v/>
      </c>
    </row>
    <row r="2" spans="1:26" x14ac:dyDescent="0.35">
      <c r="A2" t="str" cm="1">
        <f t="array" ref="A2">IFERROR(INDEX(Prévision!B:B, SMALL(IF(Prévision!B:B&lt;&gt;"", ROW(Prévision!B:B)), ROW(1:1))), "")</f>
        <v>Financement</v>
      </c>
      <c r="C2" t="str" cm="1">
        <f t="array" aca="1" ref="C2" ca="1">IF(OR(OFFSET(INDIRECT(ADDRESS(ROW(), COLUMN())), -1, 0) = "",  IFERROR(INDEX(Prévision!$C:$C, MATCH(C$1, Prévision!$B:$B, 0) + ROWS($1:1)), "") = 0), "", IFERROR(INDEX(Prévision!$C:$C, MATCH(C$1, Prévision!$B:$B, 0) + ROWS($1:1)), ""))</f>
        <v>Cotisations</v>
      </c>
      <c r="D2" t="str" cm="1">
        <f t="array" aca="1" ref="D2" ca="1">IF(OR(OFFSET(INDIRECT(ADDRESS(ROW(), COLUMN())), -1, 0) = "",  IFERROR(INDEX(Prévision!$C:$C, MATCH(D$1, Prévision!$B:$B, 0) + ROWS($1:1)), "") = 0), "", IFERROR(INDEX(Prévision!$C:$C, MATCH(D$1, Prévision!$B:$B, 0) + ROWS($1:1)), ""))</f>
        <v>Billets</v>
      </c>
      <c r="E2" t="str" cm="1">
        <f t="array" aca="1" ref="E2" ca="1">IF(OR(OFFSET(INDIRECT(ADDRESS(ROW(), COLUMN())), -1, 0) = "",  IFERROR(INDEX(Prévision!$C:$C, MATCH(E$1, Prévision!$B:$B, 0) + ROWS($1:1)), "") = 0), "", IFERROR(INDEX(Prévision!$C:$C, MATCH(E$1, Prévision!$B:$B, 0) + ROWS($1:1)), ""))</f>
        <v>Intérêt sur ET</v>
      </c>
      <c r="F2" t="str" cm="1">
        <f t="array" aca="1" ref="F2" ca="1">IF(OR(OFFSET(INDIRECT(ADDRESS(ROW(), COLUMN())), -1, 0) = "",  IFERROR(INDEX(Prévision!$C:$C, MATCH(F$1, Prévision!$B:$B, 0) + ROWS($1:1)), "") = 0), "", IFERROR(INDEX(Prévision!$C:$C, MATCH(F$1, Prévision!$B:$B, 0) + ROWS($1:1)), ""))</f>
        <v>Club Café</v>
      </c>
      <c r="G2" t="str" cm="1">
        <f t="array" aca="1" ref="G2" ca="1">IF(OR(OFFSET(INDIRECT(ADDRESS(ROW(), COLUMN())), -1, 0) = "",  IFERROR(INDEX(Prévision!$C:$C, MATCH(G$1, Prévision!$B:$B, 0) + ROWS($1:1)), "") = 0), "", IFERROR(INDEX(Prévision!$C:$C, MATCH(G$1, Prévision!$B:$B, 0) + ROWS($1:1)), ""))</f>
        <v>Publicité et impression</v>
      </c>
      <c r="H2" t="str" cm="1">
        <f t="array" aca="1" ref="H2" ca="1">IF(OR(OFFSET(INDIRECT(ADDRESS(ROW(), COLUMN())), -1, 0) = "",  IFERROR(INDEX(Prévision!$C:$C, MATCH(H$1, Prévision!$B:$B, 0) + ROWS($1:1)), "") = 0), "", IFERROR(INDEX(Prévision!$C:$C, MATCH(H$1, Prévision!$B:$B, 0) + ROWS($1:1)), ""))</f>
        <v>Café</v>
      </c>
      <c r="I2" t="str" cm="1">
        <f t="array" aca="1" ref="I2" ca="1">IF(OR(OFFSET(INDIRECT(ADDRESS(ROW(), COLUMN())), -1, 0) = "",  IFERROR(INDEX(Prévision!$C:$C, MATCH(I$1, Prévision!$B:$B, 0) + ROWS($1:1)), "") = 0), "", IFERROR(INDEX(Prévision!$C:$C, MATCH(I$1, Prévision!$B:$B, 0) + ROWS($1:1)), ""))</f>
        <v>Récompense</v>
      </c>
      <c r="J2" t="str" cm="1">
        <f t="array" aca="1" ref="J2" ca="1">IF(OR(OFFSET(INDIRECT(ADDRESS(ROW(), COLUMN())), -1, 0) = "",  IFERROR(INDEX(Prévision!$C:$C, MATCH(J$1, Prévision!$B:$B, 0) + ROWS($1:1)), "") = 0), "", IFERROR(INDEX(Prévision!$C:$C, MATCH(J$1, Prévision!$B:$B, 0) + ROWS($1:1)), ""))</f>
        <v>Inscriptions</v>
      </c>
      <c r="K2" t="str" cm="1">
        <f t="array" aca="1" ref="K2" ca="1">IF(OR(OFFSET(INDIRECT(ADDRESS(ROW(), COLUMN())), -1, 0) = "",  IFERROR(INDEX(Prévision!$C:$C, MATCH(K$1, Prévision!$B:$B, 0) + ROWS($1:1)), "") = 0), "", IFERROR(INDEX(Prévision!$C:$C, MATCH(K$1, Prévision!$B:$B, 0) + ROWS($1:1)), ""))</f>
        <v>Abonnements IEEE</v>
      </c>
      <c r="L2" t="str" cm="1">
        <f t="array" aca="1" ref="L2" ca="1">IF(OR(OFFSET(INDIRECT(ADDRESS(ROW(), COLUMN())), -1, 0) = "",  IFERROR(INDEX(Prévision!$C:$C, MATCH(L$1, Prévision!$B:$B, 0) + ROWS($1:1)), "") = 0), "", IFERROR(INDEX(Prévision!$C:$C, MATCH(L$1, Prévision!$B:$B, 0) + ROWS($1:1)), ""))</f>
        <v>Assemblée générale</v>
      </c>
      <c r="M2" t="str" cm="1">
        <f t="array" aca="1" ref="M2" ca="1">IF(OR(OFFSET(INDIRECT(ADDRESS(ROW(), COLUMN())), -1, 0) = "",  IFERROR(INDEX(Prévision!$C:$C, MATCH(M$1, Prévision!$B:$B, 0) + ROWS($1:1)), "") = 0), "", IFERROR(INDEX(Prévision!$C:$C, MATCH(M$1, Prévision!$B:$B, 0) + ROWS($1:1)), ""))</f>
        <v>Frais fixes</v>
      </c>
      <c r="N2" t="str" cm="1">
        <f t="array" aca="1" ref="N2" ca="1">IF(OR(OFFSET(INDIRECT(ADDRESS(ROW(), COLUMN())), -1, 0) = "",  IFERROR(INDEX(Prévision!$C:$C, MATCH(N$1, Prévision!$B:$B, 0) + ROWS($1:1)), "") = 0), "", IFERROR(INDEX(Prévision!$C:$C, MATCH(N$1, Prévision!$B:$B, 0) + ROWS($1:1)), ""))</f>
        <v>Location</v>
      </c>
      <c r="O2" t="str" cm="1">
        <f t="array" aca="1" ref="O2" ca="1">IF(OR(OFFSET(INDIRECT(ADDRESS(ROW(), COLUMN())), -1, 0) = "",  IFERROR(INDEX(Prévision!$C:$C, MATCH(O$1, Prévision!$B:$B, 0) + ROWS($1:1)), "") = 0), "", IFERROR(INDEX(Prévision!$C:$C, MATCH(O$1, Prévision!$B:$B, 0) + ROWS($1:1)), ""))</f>
        <v>Inscriptions</v>
      </c>
      <c r="P2" t="str" cm="1">
        <f t="array" aca="1" ref="P2" ca="1">IF(OR(OFFSET(INDIRECT(ADDRESS(ROW(), COLUMN())), -1, 0) = "",  IFERROR(INDEX(Prévision!$C:$C, MATCH(P$1, Prévision!$B:$B, 0) + ROWS($1:1)), "") = 0), "", IFERROR(INDEX(Prévision!$C:$C, MATCH(P$1, Prévision!$B:$B, 0) + ROWS($1:1)), ""))</f>
        <v>Articles de bureau</v>
      </c>
      <c r="Q2" t="str" cm="1">
        <f t="array" aca="1" ref="Q2" ca="1">IF(OR(OFFSET(INDIRECT(ADDRESS(ROW(), COLUMN())), -1, 0) = "",  IFERROR(INDEX(Prévision!$C:$C, MATCH(Q$1, Prévision!$B:$B, 0) + ROWS($1:1)), "") = 0), "", IFERROR(INDEX(Prévision!$C:$C, MATCH(Q$1, Prévision!$B:$B, 0) + ROWS($1:1)), ""))</f>
        <v/>
      </c>
      <c r="R2" t="str" cm="1">
        <f t="array" aca="1" ref="R2" ca="1">IF(OR(OFFSET(INDIRECT(ADDRESS(ROW(), COLUMN())), -1, 0) = "",  IFERROR(INDEX(Prévision!$C:$C, MATCH(R$1, Prévision!$B:$B, 0) + ROWS($1:1)), "") = 0), "", IFERROR(INDEX(Prévision!$C:$C, MATCH(R$1, Prévision!$B:$B, 0) + ROWS($1:1)), ""))</f>
        <v/>
      </c>
      <c r="S2" t="str" cm="1">
        <f t="array" aca="1" ref="S2" ca="1">IF(OR(OFFSET(INDIRECT(ADDRESS(ROW(), COLUMN())), -1, 0) = "",  IFERROR(INDEX(Prévision!$C:$C, MATCH(S$1, Prévision!$B:$B, 0) + ROWS($1:1)), "") = 0), "", IFERROR(INDEX(Prévision!$C:$C, MATCH(S$1, Prévision!$B:$B, 0) + ROWS($1:1)), ""))</f>
        <v/>
      </c>
      <c r="T2" t="str" cm="1">
        <f t="array" aca="1" ref="T2" ca="1">IF(OR(OFFSET(INDIRECT(ADDRESS(ROW(), COLUMN())), -1, 0) = "",  IFERROR(INDEX(Prévision!$C:$C, MATCH(T$1, Prévision!$B:$B, 0) + ROWS($1:1)), "") = 0), "", IFERROR(INDEX(Prévision!$C:$C, MATCH(T$1, Prévision!$B:$B, 0) + ROWS($1:1)), ""))</f>
        <v/>
      </c>
      <c r="U2" t="str" cm="1">
        <f t="array" aca="1" ref="U2" ca="1">IF(OR(OFFSET(INDIRECT(ADDRESS(ROW(), COLUMN())), -1, 0) = "",  IFERROR(INDEX(Prévision!$C:$C, MATCH(U$1, Prévision!$B:$B, 0) + ROWS($1:1)), "") = 0), "", IFERROR(INDEX(Prévision!$C:$C, MATCH(U$1, Prévision!$B:$B, 0) + ROWS($1:1)), ""))</f>
        <v/>
      </c>
      <c r="V2" t="str" cm="1">
        <f t="array" aca="1" ref="V2" ca="1">IF(OR(OFFSET(INDIRECT(ADDRESS(ROW(), COLUMN())), -1, 0) = "",  IFERROR(INDEX(Prévision!$C:$C, MATCH(V$1, Prévision!$B:$B, 0) + ROWS($1:1)), "") = 0), "", IFERROR(INDEX(Prévision!$C:$C, MATCH(V$1, Prévision!$B:$B, 0) + ROWS($1:1)), ""))</f>
        <v/>
      </c>
      <c r="W2" t="str" cm="1">
        <f t="array" aca="1" ref="W2" ca="1">IF(OR(OFFSET(INDIRECT(ADDRESS(ROW(), COLUMN())), -1, 0) = "",  IFERROR(INDEX(Prévision!$C:$C, MATCH(W$1, Prévision!$B:$B, 0) + ROWS($1:1)), "") = 0), "", IFERROR(INDEX(Prévision!$C:$C, MATCH(W$1, Prévision!$B:$B, 0) + ROWS($1:1)), ""))</f>
        <v/>
      </c>
      <c r="X2" t="str" cm="1">
        <f t="array" aca="1" ref="X2" ca="1">IF(OR(OFFSET(INDIRECT(ADDRESS(ROW(), COLUMN())), -1, 0) = "",  IFERROR(INDEX(Prévision!$C:$C, MATCH(X$1, Prévision!$B:$B, 0) + ROWS($1:1)), "") = 0), "", IFERROR(INDEX(Prévision!$C:$C, MATCH(X$1, Prévision!$B:$B, 0) + ROWS($1:1)), ""))</f>
        <v/>
      </c>
      <c r="Y2" t="str" cm="1">
        <f t="array" aca="1" ref="Y2" ca="1">IF(OR(OFFSET(INDIRECT(ADDRESS(ROW(), COLUMN())), -1, 0) = "",  IFERROR(INDEX(Prévision!$C:$C, MATCH(Y$1, Prévision!$B:$B, 0) + ROWS($1:1)), "") = 0), "", IFERROR(INDEX(Prévision!$C:$C, MATCH(Y$1, Prévision!$B:$B, 0) + ROWS($1:1)), ""))</f>
        <v/>
      </c>
      <c r="Z2" t="str" cm="1">
        <f t="array" aca="1" ref="Z2" ca="1">IF(OR(OFFSET(INDIRECT(ADDRESS(ROW(), COLUMN())), -1, 0) = "",  IFERROR(INDEX(Prévision!$C:$C, MATCH(Z$1, Prévision!$B:$B, 0) + ROWS($1:1)), "") = 0), "", IFERROR(INDEX(Prévision!$C:$C, MATCH(Z$1, Prévision!$B:$B, 0) + ROWS($1:1)), ""))</f>
        <v/>
      </c>
    </row>
    <row r="3" spans="1:26" x14ac:dyDescent="0.35">
      <c r="A3" t="str" cm="1">
        <f t="array" ref="A3">IFERROR(INDEX(Prévision!B:B, SMALL(IF(Prévision!B:B&lt;&gt;"", ROW(Prévision!B:B)), ROW(2:2))), "")</f>
        <v>Produits d'événements</v>
      </c>
      <c r="C3" t="str" cm="1">
        <f t="array" aca="1" ref="C3" ca="1">IF(OR(OFFSET(INDIRECT(ADDRESS(ROW(), COLUMN())), -1, 0) = "",  IFERROR(INDEX(Prévision!$C:$C, MATCH(C$1, Prévision!$B:$B, 0) + ROWS($1:2)), "") = 0), "", IFERROR(INDEX(Prévision!$C:$C, MATCH(C$1, Prévision!$B:$B, 0) + ROWS($1:2)), ""))</f>
        <v>ITR</v>
      </c>
      <c r="D3" t="str" cm="1">
        <f t="array" aca="1" ref="D3" ca="1">IF(OR(OFFSET(INDIRECT(ADDRESS(ROW(), COLUMN())), -1, 0) = "",  IFERROR(INDEX(Prévision!$C:$C, MATCH(D$1, Prévision!$B:$B, 0) + ROWS($1:2)), "") = 0), "", IFERROR(INDEX(Prévision!$C:$C, MATCH(D$1, Prévision!$B:$B, 0) + ROWS($1:2)), ""))</f>
        <v>Articles promotionnels</v>
      </c>
      <c r="E3" t="str" cm="1">
        <f t="array" aca="1" ref="E3" ca="1">IF(OR(OFFSET(INDIRECT(ADDRESS(ROW(), COLUMN())), -1, 0) = "",  IFERROR(INDEX(Prévision!$C:$C, MATCH(E$1, Prévision!$B:$B, 0) + ROWS($1:2)), "") = 0), "", IFERROR(INDEX(Prévision!$C:$C, MATCH(E$1, Prévision!$B:$B, 0) + ROWS($1:2)), ""))</f>
        <v>Intérêt sur EOP</v>
      </c>
      <c r="F3" t="str" cm="1">
        <f t="array" aca="1" ref="F3" ca="1">IF(OR(OFFSET(INDIRECT(ADDRESS(ROW(), COLUMN())), -1, 0) = "",  IFERROR(INDEX(Prévision!$C:$C, MATCH(F$1, Prévision!$B:$B, 0) + ROWS($1:2)), "") = 0), "", IFERROR(INDEX(Prévision!$C:$C, MATCH(F$1, Prévision!$B:$B, 0) + ROWS($1:2)), ""))</f>
        <v>Patch</v>
      </c>
      <c r="G3" t="str" cm="1">
        <f t="array" aca="1" ref="G3" ca="1">IF(OR(OFFSET(INDIRECT(ADDRESS(ROW(), COLUMN())), -1, 0) = "",  IFERROR(INDEX(Prévision!$C:$C, MATCH(G$1, Prévision!$B:$B, 0) + ROWS($1:2)), "") = 0), "", IFERROR(INDEX(Prévision!$C:$C, MATCH(G$1, Prévision!$B:$B, 0) + ROWS($1:2)), ""))</f>
        <v>Randolph</v>
      </c>
      <c r="H3" t="str" cm="1">
        <f t="array" aca="1" ref="H3" ca="1">IF(OR(OFFSET(INDIRECT(ADDRESS(ROW(), COLUMN())), -1, 0) = "",  IFERROR(INDEX(Prévision!$C:$C, MATCH(H$1, Prévision!$B:$B, 0) + ROWS($1:2)), "") = 0), "", IFERROR(INDEX(Prévision!$C:$C, MATCH(H$1, Prévision!$B:$B, 0) + ROWS($1:2)), ""))</f>
        <v>Collations</v>
      </c>
      <c r="I3" t="str" cm="1">
        <f t="array" aca="1" ref="I3" ca="1">IF(OR(OFFSET(INDIRECT(ADDRESS(ROW(), COLUMN())), -1, 0) = "",  IFERROR(INDEX(Prévision!$C:$C, MATCH(I$1, Prévision!$B:$B, 0) + ROWS($1:2)), "") = 0), "", IFERROR(INDEX(Prévision!$C:$C, MATCH(I$1, Prévision!$B:$B, 0) + ROWS($1:2)), ""))</f>
        <v>Fabrication</v>
      </c>
      <c r="J3" t="str" cm="1">
        <f t="array" aca="1" ref="J3" ca="1">IF(OR(OFFSET(INDIRECT(ADDRESS(ROW(), COLUMN())), -1, 0) = "",  IFERROR(INDEX(Prévision!$C:$C, MATCH(J$1, Prévision!$B:$B, 0) + ROWS($1:2)), "") = 0), "", IFERROR(INDEX(Prévision!$C:$C, MATCH(J$1, Prévision!$B:$B, 0) + ROWS($1:2)), ""))</f>
        <v>Transport</v>
      </c>
      <c r="K3" t="str" cm="1">
        <f t="array" aca="1" ref="K3" ca="1">IF(OR(OFFSET(INDIRECT(ADDRESS(ROW(), COLUMN())), -1, 0) = "",  IFERROR(INDEX(Prévision!$C:$C, MATCH(K$1, Prévision!$B:$B, 0) + ROWS($1:2)), "") = 0), "", IFERROR(INDEX(Prévision!$C:$C, MATCH(K$1, Prévision!$B:$B, 0) + ROWS($1:2)), ""))</f>
        <v>Vêtements</v>
      </c>
      <c r="L3" t="str" cm="1">
        <f t="array" aca="1" ref="L3" ca="1">IF(OR(OFFSET(INDIRECT(ADDRESS(ROW(), COLUMN())), -1, 0) = "",  IFERROR(INDEX(Prévision!$C:$C, MATCH(L$1, Prévision!$B:$B, 0) + ROWS($1:2)), "") = 0), "", IFERROR(INDEX(Prévision!$C:$C, MATCH(L$1, Prévision!$B:$B, 0) + ROWS($1:2)), ""))</f>
        <v>Mécabuck</v>
      </c>
      <c r="M3" t="str" cm="1">
        <f t="array" aca="1" ref="M3" ca="1">IF(OR(OFFSET(INDIRECT(ADDRESS(ROW(), COLUMN())), -1, 0) = "",  IFERROR(INDEX(Prévision!$C:$C, MATCH(M$1, Prévision!$B:$B, 0) + ROWS($1:2)), "") = 0), "", IFERROR(INDEX(Prévision!$C:$C, MATCH(M$1, Prévision!$B:$B, 0) + ROWS($1:2)), ""))</f>
        <v>Ajustement</v>
      </c>
      <c r="N3" t="str" cm="1">
        <f t="array" aca="1" ref="N3" ca="1">IF(OR(OFFSET(INDIRECT(ADDRESS(ROW(), COLUMN())), -1, 0) = "",  IFERROR(INDEX(Prévision!$C:$C, MATCH(N$1, Prévision!$B:$B, 0) + ROWS($1:2)), "") = 0), "", IFERROR(INDEX(Prévision!$C:$C, MATCH(N$1, Prévision!$B:$B, 0) + ROWS($1:2)), ""))</f>
        <v>Nourriture et boissons</v>
      </c>
      <c r="O3" t="str" cm="1">
        <f t="array" aca="1" ref="O3" ca="1">IF(OR(OFFSET(INDIRECT(ADDRESS(ROW(), COLUMN())), -1, 0) = "",  IFERROR(INDEX(Prévision!$C:$C, MATCH(O$1, Prévision!$B:$B, 0) + ROWS($1:2)), "") = 0), "", IFERROR(INDEX(Prévision!$C:$C, MATCH(O$1, Prévision!$B:$B, 0) + ROWS($1:2)), ""))</f>
        <v>Nourriture et boissons</v>
      </c>
      <c r="P3" t="str" cm="1">
        <f t="array" aca="1" ref="P3" ca="1">IF(OR(OFFSET(INDIRECT(ADDRESS(ROW(), COLUMN())), -1, 0) = "",  IFERROR(INDEX(Prévision!$C:$C, MATCH(P$1, Prévision!$B:$B, 0) + ROWS($1:2)), "") = 0), "", IFERROR(INDEX(Prévision!$C:$C, MATCH(P$1, Prévision!$B:$B, 0) + ROWS($1:2)), ""))</f>
        <v>Mobilier</v>
      </c>
      <c r="Q3" t="str" cm="1">
        <f t="array" aca="1" ref="Q3" ca="1">IF(OR(OFFSET(INDIRECT(ADDRESS(ROW(), COLUMN())), -1, 0) = "",  IFERROR(INDEX(Prévision!$C:$C, MATCH(Q$1, Prévision!$B:$B, 0) + ROWS($1:2)), "") = 0), "", IFERROR(INDEX(Prévision!$C:$C, MATCH(Q$1, Prévision!$B:$B, 0) + ROWS($1:2)), ""))</f>
        <v/>
      </c>
      <c r="R3" t="str" cm="1">
        <f t="array" aca="1" ref="R3" ca="1">IF(OR(OFFSET(INDIRECT(ADDRESS(ROW(), COLUMN())), -1, 0) = "",  IFERROR(INDEX(Prévision!$C:$C, MATCH(R$1, Prévision!$B:$B, 0) + ROWS($1:2)), "") = 0), "", IFERROR(INDEX(Prévision!$C:$C, MATCH(R$1, Prévision!$B:$B, 0) + ROWS($1:2)), ""))</f>
        <v/>
      </c>
      <c r="S3" t="str" cm="1">
        <f t="array" aca="1" ref="S3" ca="1">IF(OR(OFFSET(INDIRECT(ADDRESS(ROW(), COLUMN())), -1, 0) = "",  IFERROR(INDEX(Prévision!$C:$C, MATCH(S$1, Prévision!$B:$B, 0) + ROWS($1:2)), "") = 0), "", IFERROR(INDEX(Prévision!$C:$C, MATCH(S$1, Prévision!$B:$B, 0) + ROWS($1:2)), ""))</f>
        <v/>
      </c>
      <c r="T3" t="str" cm="1">
        <f t="array" aca="1" ref="T3" ca="1">IF(OR(OFFSET(INDIRECT(ADDRESS(ROW(), COLUMN())), -1, 0) = "",  IFERROR(INDEX(Prévision!$C:$C, MATCH(T$1, Prévision!$B:$B, 0) + ROWS($1:2)), "") = 0), "", IFERROR(INDEX(Prévision!$C:$C, MATCH(T$1, Prévision!$B:$B, 0) + ROWS($1:2)), ""))</f>
        <v/>
      </c>
      <c r="U3" t="str" cm="1">
        <f t="array" aca="1" ref="U3" ca="1">IF(OR(OFFSET(INDIRECT(ADDRESS(ROW(), COLUMN())), -1, 0) = "",  IFERROR(INDEX(Prévision!$C:$C, MATCH(U$1, Prévision!$B:$B, 0) + ROWS($1:2)), "") = 0), "", IFERROR(INDEX(Prévision!$C:$C, MATCH(U$1, Prévision!$B:$B, 0) + ROWS($1:2)), ""))</f>
        <v/>
      </c>
      <c r="V3" t="str" cm="1">
        <f t="array" aca="1" ref="V3" ca="1">IF(OR(OFFSET(INDIRECT(ADDRESS(ROW(), COLUMN())), -1, 0) = "",  IFERROR(INDEX(Prévision!$C:$C, MATCH(V$1, Prévision!$B:$B, 0) + ROWS($1:2)), "") = 0), "", IFERROR(INDEX(Prévision!$C:$C, MATCH(V$1, Prévision!$B:$B, 0) + ROWS($1:2)), ""))</f>
        <v/>
      </c>
      <c r="W3" t="str" cm="1">
        <f t="array" aca="1" ref="W3" ca="1">IF(OR(OFFSET(INDIRECT(ADDRESS(ROW(), COLUMN())), -1, 0) = "",  IFERROR(INDEX(Prévision!$C:$C, MATCH(W$1, Prévision!$B:$B, 0) + ROWS($1:2)), "") = 0), "", IFERROR(INDEX(Prévision!$C:$C, MATCH(W$1, Prévision!$B:$B, 0) + ROWS($1:2)), ""))</f>
        <v/>
      </c>
      <c r="X3" t="str" cm="1">
        <f t="array" aca="1" ref="X3" ca="1">IF(OR(OFFSET(INDIRECT(ADDRESS(ROW(), COLUMN())), -1, 0) = "",  IFERROR(INDEX(Prévision!$C:$C, MATCH(X$1, Prévision!$B:$B, 0) + ROWS($1:2)), "") = 0), "", IFERROR(INDEX(Prévision!$C:$C, MATCH(X$1, Prévision!$B:$B, 0) + ROWS($1:2)), ""))</f>
        <v/>
      </c>
      <c r="Y3" t="str" cm="1">
        <f t="array" aca="1" ref="Y3" ca="1">IF(OR(OFFSET(INDIRECT(ADDRESS(ROW(), COLUMN())), -1, 0) = "",  IFERROR(INDEX(Prévision!$C:$C, MATCH(Y$1, Prévision!$B:$B, 0) + ROWS($1:2)), "") = 0), "", IFERROR(INDEX(Prévision!$C:$C, MATCH(Y$1, Prévision!$B:$B, 0) + ROWS($1:2)), ""))</f>
        <v/>
      </c>
      <c r="Z3" t="str" cm="1">
        <f t="array" aca="1" ref="Z3" ca="1">IF(OR(OFFSET(INDIRECT(ADDRESS(ROW(), COLUMN())), -1, 0) = "",  IFERROR(INDEX(Prévision!$C:$C, MATCH(Z$1, Prévision!$B:$B, 0) + ROWS($1:2)), "") = 0), "", IFERROR(INDEX(Prévision!$C:$C, MATCH(Z$1, Prévision!$B:$B, 0) + ROWS($1:2)), ""))</f>
        <v/>
      </c>
    </row>
    <row r="4" spans="1:26" x14ac:dyDescent="0.35">
      <c r="A4" t="str" cm="1">
        <f t="array" ref="A4">IFERROR(INDEX(Prévision!B:B, SMALL(IF(Prévision!B:B&lt;&gt;"", ROW(Prévision!B:B)), ROW(3:3))), "")</f>
        <v>Produits d'intérêts</v>
      </c>
      <c r="C4" t="str" cm="1">
        <f t="array" aca="1" ref="C4" ca="1">IF(OR(OFFSET(INDIRECT(ADDRESS(ROW(), COLUMN())), -1, 0) = "",  IFERROR(INDEX(Prévision!$C:$C, MATCH(C$1, Prévision!$B:$B, 0) + ROWS($1:3)), "") = 0), "", IFERROR(INDEX(Prévision!$C:$C, MATCH(C$1, Prévision!$B:$B, 0) + ROWS($1:3)), ""))</f>
        <v>IEEE</v>
      </c>
      <c r="D4" t="str" cm="1">
        <f t="array" aca="1" ref="D4" ca="1">IF(OR(OFFSET(INDIRECT(ADDRESS(ROW(), COLUMN())), -1, 0) = "",  IFERROR(INDEX(Prévision!$C:$C, MATCH(D$1, Prévision!$B:$B, 0) + ROWS($1:3)), "") = 0), "", IFERROR(INDEX(Prévision!$C:$C, MATCH(D$1, Prévision!$B:$B, 0) + ROWS($1:3)), ""))</f>
        <v>Autre</v>
      </c>
      <c r="E4" t="str" cm="1">
        <f t="array" aca="1" ref="E4" ca="1">IF(OR(OFFSET(INDIRECT(ADDRESS(ROW(), COLUMN())), -1, 0) = "",  IFERROR(INDEX(Prévision!$C:$C, MATCH(E$1, Prévision!$B:$B, 0) + ROWS($1:3)), "") = 0), "", IFERROR(INDEX(Prévision!$C:$C, MATCH(E$1, Prévision!$B:$B, 0) + ROWS($1:3)), ""))</f>
        <v>Ristourne</v>
      </c>
      <c r="F4" t="str" cm="1">
        <f t="array" aca="1" ref="F4" ca="1">IF(OR(OFFSET(INDIRECT(ADDRESS(ROW(), COLUMN())), -1, 0) = "",  IFERROR(INDEX(Prévision!$C:$C, MATCH(F$1, Prévision!$B:$B, 0) + ROWS($1:3)), "") = 0), "", IFERROR(INDEX(Prévision!$C:$C, MATCH(F$1, Prévision!$B:$B, 0) + ROWS($1:3)), ""))</f>
        <v>Vêtements</v>
      </c>
      <c r="G4" t="str" cm="1">
        <f t="array" aca="1" ref="G4" ca="1">IF(OR(OFFSET(INDIRECT(ADDRESS(ROW(), COLUMN())), -1, 0) = "",  IFERROR(INDEX(Prévision!$C:$C, MATCH(G$1, Prévision!$B:$B, 0) + ROWS($1:3)), "") = 0), "", IFERROR(INDEX(Prévision!$C:$C, MATCH(G$1, Prévision!$B:$B, 0) + ROWS($1:3)), ""))</f>
        <v>Visites industrielles</v>
      </c>
      <c r="H4" t="str" cm="1">
        <f t="array" aca="1" ref="H4" ca="1">IF(OR(OFFSET(INDIRECT(ADDRESS(ROW(), COLUMN())), -1, 0) = "",  IFERROR(INDEX(Prévision!$C:$C, MATCH(H$1, Prévision!$B:$B, 0) + ROWS($1:3)), "") = 0), "", IFERROR(INDEX(Prévision!$C:$C, MATCH(H$1, Prévision!$B:$B, 0) + ROWS($1:3)), ""))</f>
        <v>Verres</v>
      </c>
      <c r="I4" t="str" cm="1">
        <f t="array" aca="1" ref="I4" ca="1">IF(OR(OFFSET(INDIRECT(ADDRESS(ROW(), COLUMN())), -1, 0) = "",  IFERROR(INDEX(Prévision!$C:$C, MATCH(I$1, Prévision!$B:$B, 0) + ROWS($1:3)), "") = 0), "", IFERROR(INDEX(Prévision!$C:$C, MATCH(I$1, Prévision!$B:$B, 0) + ROWS($1:3)), ""))</f>
        <v>Livraison</v>
      </c>
      <c r="J4" t="str" cm="1">
        <f t="array" aca="1" ref="J4" ca="1">IF(OR(OFFSET(INDIRECT(ADDRESS(ROW(), COLUMN())), -1, 0) = "",  IFERROR(INDEX(Prévision!$C:$C, MATCH(J$1, Prévision!$B:$B, 0) + ROWS($1:3)), "") = 0), "", IFERROR(INDEX(Prévision!$C:$C, MATCH(J$1, Prévision!$B:$B, 0) + ROWS($1:3)), ""))</f>
        <v>Vêtements</v>
      </c>
      <c r="K4" t="str" cm="1">
        <f t="array" aca="1" ref="K4" ca="1">IF(OR(OFFSET(INDIRECT(ADDRESS(ROW(), COLUMN())), -1, 0) = "",  IFERROR(INDEX(Prévision!$C:$C, MATCH(K$1, Prévision!$B:$B, 0) + ROWS($1:3)), "") = 0), "", IFERROR(INDEX(Prévision!$C:$C, MATCH(K$1, Prévision!$B:$B, 0) + ROWS($1:3)), ""))</f>
        <v>Autre</v>
      </c>
      <c r="L4" t="str" cm="1">
        <f t="array" aca="1" ref="L4" ca="1">IF(OR(OFFSET(INDIRECT(ADDRESS(ROW(), COLUMN())), -1, 0) = "",  IFERROR(INDEX(Prévision!$C:$C, MATCH(L$1, Prévision!$B:$B, 0) + ROWS($1:3)), "") = 0), "", IFERROR(INDEX(Prévision!$C:$C, MATCH(L$1, Prévision!$B:$B, 0) + ROWS($1:3)), ""))</f>
        <v/>
      </c>
      <c r="M4" t="str" cm="1">
        <f t="array" aca="1" ref="M4" ca="1">IF(OR(OFFSET(INDIRECT(ADDRESS(ROW(), COLUMN())), -1, 0) = "",  IFERROR(INDEX(Prévision!$C:$C, MATCH(M$1, Prévision!$B:$B, 0) + ROWS($1:3)), "") = 0), "", IFERROR(INDEX(Prévision!$C:$C, MATCH(M$1, Prévision!$B:$B, 0) + ROWS($1:3)), ""))</f>
        <v>Frais d'intérêts</v>
      </c>
      <c r="N4" t="str" cm="1">
        <f t="array" aca="1" ref="N4" ca="1">IF(OR(OFFSET(INDIRECT(ADDRESS(ROW(), COLUMN())), -1, 0) = "",  IFERROR(INDEX(Prévision!$C:$C, MATCH(N$1, Prévision!$B:$B, 0) + ROWS($1:3)), "") = 0), "", IFERROR(INDEX(Prévision!$C:$C, MATCH(N$1, Prévision!$B:$B, 0) + ROWS($1:3)), ""))</f>
        <v>Autre</v>
      </c>
      <c r="O4" t="str" cm="1">
        <f t="array" aca="1" ref="O4" ca="1">IF(OR(OFFSET(INDIRECT(ADDRESS(ROW(), COLUMN())), -1, 0) = "",  IFERROR(INDEX(Prévision!$C:$C, MATCH(O$1, Prévision!$B:$B, 0) + ROWS($1:3)), "") = 0), "", IFERROR(INDEX(Prévision!$C:$C, MATCH(O$1, Prévision!$B:$B, 0) + ROWS($1:3)), ""))</f>
        <v>Articles promotionnels</v>
      </c>
      <c r="P4" t="str" cm="1">
        <f t="array" aca="1" ref="P4" ca="1">IF(OR(OFFSET(INDIRECT(ADDRESS(ROW(), COLUMN())), -1, 0) = "",  IFERROR(INDEX(Prévision!$C:$C, MATCH(P$1, Prévision!$B:$B, 0) + ROWS($1:3)), "") = 0), "", IFERROR(INDEX(Prévision!$C:$C, MATCH(P$1, Prévision!$B:$B, 0) + ROWS($1:3)), ""))</f>
        <v>Décorations</v>
      </c>
      <c r="Q4" t="str" cm="1">
        <f t="array" aca="1" ref="Q4" ca="1">IF(OR(OFFSET(INDIRECT(ADDRESS(ROW(), COLUMN())), -1, 0) = "",  IFERROR(INDEX(Prévision!$C:$C, MATCH(Q$1, Prévision!$B:$B, 0) + ROWS($1:3)), "") = 0), "", IFERROR(INDEX(Prévision!$C:$C, MATCH(Q$1, Prévision!$B:$B, 0) + ROWS($1:3)), ""))</f>
        <v/>
      </c>
      <c r="R4" t="str" cm="1">
        <f t="array" aca="1" ref="R4" ca="1">IF(OR(OFFSET(INDIRECT(ADDRESS(ROW(), COLUMN())), -1, 0) = "",  IFERROR(INDEX(Prévision!$C:$C, MATCH(R$1, Prévision!$B:$B, 0) + ROWS($1:3)), "") = 0), "", IFERROR(INDEX(Prévision!$C:$C, MATCH(R$1, Prévision!$B:$B, 0) + ROWS($1:3)), ""))</f>
        <v/>
      </c>
      <c r="S4" t="str" cm="1">
        <f t="array" aca="1" ref="S4" ca="1">IF(OR(OFFSET(INDIRECT(ADDRESS(ROW(), COLUMN())), -1, 0) = "",  IFERROR(INDEX(Prévision!$C:$C, MATCH(S$1, Prévision!$B:$B, 0) + ROWS($1:3)), "") = 0), "", IFERROR(INDEX(Prévision!$C:$C, MATCH(S$1, Prévision!$B:$B, 0) + ROWS($1:3)), ""))</f>
        <v/>
      </c>
      <c r="T4" t="str" cm="1">
        <f t="array" aca="1" ref="T4" ca="1">IF(OR(OFFSET(INDIRECT(ADDRESS(ROW(), COLUMN())), -1, 0) = "",  IFERROR(INDEX(Prévision!$C:$C, MATCH(T$1, Prévision!$B:$B, 0) + ROWS($1:3)), "") = 0), "", IFERROR(INDEX(Prévision!$C:$C, MATCH(T$1, Prévision!$B:$B, 0) + ROWS($1:3)), ""))</f>
        <v/>
      </c>
      <c r="U4" t="str" cm="1">
        <f t="array" aca="1" ref="U4" ca="1">IF(OR(OFFSET(INDIRECT(ADDRESS(ROW(), COLUMN())), -1, 0) = "",  IFERROR(INDEX(Prévision!$C:$C, MATCH(U$1, Prévision!$B:$B, 0) + ROWS($1:3)), "") = 0), "", IFERROR(INDEX(Prévision!$C:$C, MATCH(U$1, Prévision!$B:$B, 0) + ROWS($1:3)), ""))</f>
        <v/>
      </c>
      <c r="V4" t="str" cm="1">
        <f t="array" aca="1" ref="V4" ca="1">IF(OR(OFFSET(INDIRECT(ADDRESS(ROW(), COLUMN())), -1, 0) = "",  IFERROR(INDEX(Prévision!$C:$C, MATCH(V$1, Prévision!$B:$B, 0) + ROWS($1:3)), "") = 0), "", IFERROR(INDEX(Prévision!$C:$C, MATCH(V$1, Prévision!$B:$B, 0) + ROWS($1:3)), ""))</f>
        <v/>
      </c>
      <c r="W4" t="str" cm="1">
        <f t="array" aca="1" ref="W4" ca="1">IF(OR(OFFSET(INDIRECT(ADDRESS(ROW(), COLUMN())), -1, 0) = "",  IFERROR(INDEX(Prévision!$C:$C, MATCH(W$1, Prévision!$B:$B, 0) + ROWS($1:3)), "") = 0), "", IFERROR(INDEX(Prévision!$C:$C, MATCH(W$1, Prévision!$B:$B, 0) + ROWS($1:3)), ""))</f>
        <v/>
      </c>
      <c r="X4" t="str" cm="1">
        <f t="array" aca="1" ref="X4" ca="1">IF(OR(OFFSET(INDIRECT(ADDRESS(ROW(), COLUMN())), -1, 0) = "",  IFERROR(INDEX(Prévision!$C:$C, MATCH(X$1, Prévision!$B:$B, 0) + ROWS($1:3)), "") = 0), "", IFERROR(INDEX(Prévision!$C:$C, MATCH(X$1, Prévision!$B:$B, 0) + ROWS($1:3)), ""))</f>
        <v/>
      </c>
      <c r="Y4" t="str" cm="1">
        <f t="array" aca="1" ref="Y4" ca="1">IF(OR(OFFSET(INDIRECT(ADDRESS(ROW(), COLUMN())), -1, 0) = "",  IFERROR(INDEX(Prévision!$C:$C, MATCH(Y$1, Prévision!$B:$B, 0) + ROWS($1:3)), "") = 0), "", IFERROR(INDEX(Prévision!$C:$C, MATCH(Y$1, Prévision!$B:$B, 0) + ROWS($1:3)), ""))</f>
        <v/>
      </c>
      <c r="Z4" t="str" cm="1">
        <f t="array" aca="1" ref="Z4" ca="1">IF(OR(OFFSET(INDIRECT(ADDRESS(ROW(), COLUMN())), -1, 0) = "",  IFERROR(INDEX(Prévision!$C:$C, MATCH(Z$1, Prévision!$B:$B, 0) + ROWS($1:3)), "") = 0), "", IFERROR(INDEX(Prévision!$C:$C, MATCH(Z$1, Prévision!$B:$B, 0) + ROWS($1:3)), ""))</f>
        <v/>
      </c>
    </row>
    <row r="5" spans="1:26" x14ac:dyDescent="0.35">
      <c r="A5" t="str" cm="1">
        <f t="array" ref="A5">IFERROR(INDEX(Prévision!B:B, SMALL(IF(Prévision!B:B&lt;&gt;"", ROW(Prévision!B:B)), ROW(4:4))), "")</f>
        <v>Ventes diverses</v>
      </c>
      <c r="C5" t="str" cm="1">
        <f t="array" aca="1" ref="C5" ca="1">IF(OR(OFFSET(INDIRECT(ADDRESS(ROW(), COLUMN())), -1, 0) = "",  IFERROR(INDEX(Prévision!$C:$C, MATCH(C$1, Prévision!$B:$B, 0) + ROWS($1:4)), "") = 0), "", IFERROR(INDEX(Prévision!$C:$C, MATCH(C$1, Prévision!$B:$B, 0) + ROWS($1:4)), ""))</f>
        <v>Partenaires</v>
      </c>
      <c r="D5" t="str" cm="1">
        <f t="array" aca="1" ref="D5" ca="1">IF(OR(OFFSET(INDIRECT(ADDRESS(ROW(), COLUMN())), -1, 0) = "",  IFERROR(INDEX(Prévision!$C:$C, MATCH(D$1, Prévision!$B:$B, 0) + ROWS($1:4)), "") = 0), "", IFERROR(INDEX(Prévision!$C:$C, MATCH(D$1, Prévision!$B:$B, 0) + ROWS($1:4)), ""))</f>
        <v/>
      </c>
      <c r="E5" t="str" cm="1">
        <f t="array" aca="1" ref="E5" ca="1">IF(OR(OFFSET(INDIRECT(ADDRESS(ROW(), COLUMN())), -1, 0) = "",  IFERROR(INDEX(Prévision!$C:$C, MATCH(E$1, Prévision!$B:$B, 0) + ROWS($1:4)), "") = 0), "", IFERROR(INDEX(Prévision!$C:$C, MATCH(E$1, Prévision!$B:$B, 0) + ROWS($1:4)), ""))</f>
        <v/>
      </c>
      <c r="F5" t="str" cm="1">
        <f t="array" aca="1" ref="F5" ca="1">IF(OR(OFFSET(INDIRECT(ADDRESS(ROW(), COLUMN())), -1, 0) = "",  IFERROR(INDEX(Prévision!$C:$C, MATCH(F$1, Prévision!$B:$B, 0) + ROWS($1:4)), "") = 0), "", IFERROR(INDEX(Prévision!$C:$C, MATCH(F$1, Prévision!$B:$B, 0) + ROWS($1:4)), ""))</f>
        <v>Autre</v>
      </c>
      <c r="G5" t="str" cm="1">
        <f t="array" aca="1" ref="G5" ca="1">IF(OR(OFFSET(INDIRECT(ADDRESS(ROW(), COLUMN())), -1, 0) = "",  IFERROR(INDEX(Prévision!$C:$C, MATCH(G$1, Prévision!$B:$B, 0) + ROWS($1:4)), "") = 0), "", IFERROR(INDEX(Prévision!$C:$C, MATCH(G$1, Prévision!$B:$B, 0) + ROWS($1:4)), ""))</f>
        <v>Autre</v>
      </c>
      <c r="H5" t="str" cm="1">
        <f t="array" aca="1" ref="H5" ca="1">IF(OR(OFFSET(INDIRECT(ADDRESS(ROW(), COLUMN())), -1, 0) = "",  IFERROR(INDEX(Prévision!$C:$C, MATCH(H$1, Prévision!$B:$B, 0) + ROWS($1:4)), "") = 0), "", IFERROR(INDEX(Prévision!$C:$C, MATCH(H$1, Prévision!$B:$B, 0) + ROWS($1:4)), ""))</f>
        <v>Autre</v>
      </c>
      <c r="I5" t="str" cm="1">
        <f t="array" aca="1" ref="I5" ca="1">IF(OR(OFFSET(INDIRECT(ADDRESS(ROW(), COLUMN())), -1, 0) = "",  IFERROR(INDEX(Prévision!$C:$C, MATCH(I$1, Prévision!$B:$B, 0) + ROWS($1:4)), "") = 0), "", IFERROR(INDEX(Prévision!$C:$C, MATCH(I$1, Prévision!$B:$B, 0) + ROWS($1:4)), ""))</f>
        <v>Autre</v>
      </c>
      <c r="J5" t="str" cm="1">
        <f t="array" aca="1" ref="J5" ca="1">IF(OR(OFFSET(INDIRECT(ADDRESS(ROW(), COLUMN())), -1, 0) = "",  IFERROR(INDEX(Prévision!$C:$C, MATCH(J$1, Prévision!$B:$B, 0) + ROWS($1:4)), "") = 0), "", IFERROR(INDEX(Prévision!$C:$C, MATCH(J$1, Prévision!$B:$B, 0) + ROWS($1:4)), ""))</f>
        <v>Nourriture et boissons</v>
      </c>
      <c r="K5" t="str" cm="1">
        <f t="array" aca="1" ref="K5" ca="1">IF(OR(OFFSET(INDIRECT(ADDRESS(ROW(), COLUMN())), -1, 0) = "",  IFERROR(INDEX(Prévision!$C:$C, MATCH(K$1, Prévision!$B:$B, 0) + ROWS($1:4)), "") = 0), "", IFERROR(INDEX(Prévision!$C:$C, MATCH(K$1, Prévision!$B:$B, 0) + ROWS($1:4)), ""))</f>
        <v/>
      </c>
      <c r="L5" t="str" cm="1">
        <f t="array" aca="1" ref="L5" ca="1">IF(OR(OFFSET(INDIRECT(ADDRESS(ROW(), COLUMN())), -1, 0) = "",  IFERROR(INDEX(Prévision!$C:$C, MATCH(L$1, Prévision!$B:$B, 0) + ROWS($1:4)), "") = 0), "", IFERROR(INDEX(Prévision!$C:$C, MATCH(L$1, Prévision!$B:$B, 0) + ROWS($1:4)), ""))</f>
        <v/>
      </c>
      <c r="M5" t="str" cm="1">
        <f t="array" aca="1" ref="M5" ca="1">IF(OR(OFFSET(INDIRECT(ADDRESS(ROW(), COLUMN())), -1, 0) = "",  IFERROR(INDEX(Prévision!$C:$C, MATCH(M$1, Prévision!$B:$B, 0) + ROWS($1:4)), "") = 0), "", IFERROR(INDEX(Prévision!$C:$C, MATCH(M$1, Prévision!$B:$B, 0) + ROWS($1:4)), ""))</f>
        <v>Autre</v>
      </c>
      <c r="N5" t="str" cm="1">
        <f t="array" aca="1" ref="N5" ca="1">IF(OR(OFFSET(INDIRECT(ADDRESS(ROW(), COLUMN())), -1, 0) = "",  IFERROR(INDEX(Prévision!$C:$C, MATCH(N$1, Prévision!$B:$B, 0) + ROWS($1:4)), "") = 0), "", IFERROR(INDEX(Prévision!$C:$C, MATCH(N$1, Prévision!$B:$B, 0) + ROWS($1:4)), ""))</f>
        <v/>
      </c>
      <c r="O5" t="str" cm="1">
        <f t="array" aca="1" ref="O5" ca="1">IF(OR(OFFSET(INDIRECT(ADDRESS(ROW(), COLUMN())), -1, 0) = "",  IFERROR(INDEX(Prévision!$C:$C, MATCH(O$1, Prévision!$B:$B, 0) + ROWS($1:4)), "") = 0), "", IFERROR(INDEX(Prévision!$C:$C, MATCH(O$1, Prévision!$B:$B, 0) + ROWS($1:4)), ""))</f>
        <v>Autre</v>
      </c>
      <c r="P5" t="str" cm="1">
        <f t="array" aca="1" ref="P5" ca="1">IF(OR(OFFSET(INDIRECT(ADDRESS(ROW(), COLUMN())), -1, 0) = "",  IFERROR(INDEX(Prévision!$C:$C, MATCH(P$1, Prévision!$B:$B, 0) + ROWS($1:4)), "") = 0), "", IFERROR(INDEX(Prévision!$C:$C, MATCH(P$1, Prévision!$B:$B, 0) + ROWS($1:4)), ""))</f>
        <v>Entretien</v>
      </c>
      <c r="Q5" t="str" cm="1">
        <f t="array" aca="1" ref="Q5" ca="1">IF(OR(OFFSET(INDIRECT(ADDRESS(ROW(), COLUMN())), -1, 0) = "",  IFERROR(INDEX(Prévision!$C:$C, MATCH(Q$1, Prévision!$B:$B, 0) + ROWS($1:4)), "") = 0), "", IFERROR(INDEX(Prévision!$C:$C, MATCH(Q$1, Prévision!$B:$B, 0) + ROWS($1:4)), ""))</f>
        <v/>
      </c>
      <c r="R5" t="str" cm="1">
        <f t="array" aca="1" ref="R5" ca="1">IF(OR(OFFSET(INDIRECT(ADDRESS(ROW(), COLUMN())), -1, 0) = "",  IFERROR(INDEX(Prévision!$C:$C, MATCH(R$1, Prévision!$B:$B, 0) + ROWS($1:4)), "") = 0), "", IFERROR(INDEX(Prévision!$C:$C, MATCH(R$1, Prévision!$B:$B, 0) + ROWS($1:4)), ""))</f>
        <v/>
      </c>
      <c r="S5" t="str" cm="1">
        <f t="array" aca="1" ref="S5" ca="1">IF(OR(OFFSET(INDIRECT(ADDRESS(ROW(), COLUMN())), -1, 0) = "",  IFERROR(INDEX(Prévision!$C:$C, MATCH(S$1, Prévision!$B:$B, 0) + ROWS($1:4)), "") = 0), "", IFERROR(INDEX(Prévision!$C:$C, MATCH(S$1, Prévision!$B:$B, 0) + ROWS($1:4)), ""))</f>
        <v/>
      </c>
      <c r="T5" t="str" cm="1">
        <f t="array" aca="1" ref="T5" ca="1">IF(OR(OFFSET(INDIRECT(ADDRESS(ROW(), COLUMN())), -1, 0) = "",  IFERROR(INDEX(Prévision!$C:$C, MATCH(T$1, Prévision!$B:$B, 0) + ROWS($1:4)), "") = 0), "", IFERROR(INDEX(Prévision!$C:$C, MATCH(T$1, Prévision!$B:$B, 0) + ROWS($1:4)), ""))</f>
        <v/>
      </c>
      <c r="U5" t="str" cm="1">
        <f t="array" aca="1" ref="U5" ca="1">IF(OR(OFFSET(INDIRECT(ADDRESS(ROW(), COLUMN())), -1, 0) = "",  IFERROR(INDEX(Prévision!$C:$C, MATCH(U$1, Prévision!$B:$B, 0) + ROWS($1:4)), "") = 0), "", IFERROR(INDEX(Prévision!$C:$C, MATCH(U$1, Prévision!$B:$B, 0) + ROWS($1:4)), ""))</f>
        <v/>
      </c>
      <c r="V5" t="str" cm="1">
        <f t="array" aca="1" ref="V5" ca="1">IF(OR(OFFSET(INDIRECT(ADDRESS(ROW(), COLUMN())), -1, 0) = "",  IFERROR(INDEX(Prévision!$C:$C, MATCH(V$1, Prévision!$B:$B, 0) + ROWS($1:4)), "") = 0), "", IFERROR(INDEX(Prévision!$C:$C, MATCH(V$1, Prévision!$B:$B, 0) + ROWS($1:4)), ""))</f>
        <v/>
      </c>
      <c r="W5" t="str" cm="1">
        <f t="array" aca="1" ref="W5" ca="1">IF(OR(OFFSET(INDIRECT(ADDRESS(ROW(), COLUMN())), -1, 0) = "",  IFERROR(INDEX(Prévision!$C:$C, MATCH(W$1, Prévision!$B:$B, 0) + ROWS($1:4)), "") = 0), "", IFERROR(INDEX(Prévision!$C:$C, MATCH(W$1, Prévision!$B:$B, 0) + ROWS($1:4)), ""))</f>
        <v/>
      </c>
      <c r="X5" t="str" cm="1">
        <f t="array" aca="1" ref="X5" ca="1">IF(OR(OFFSET(INDIRECT(ADDRESS(ROW(), COLUMN())), -1, 0) = "",  IFERROR(INDEX(Prévision!$C:$C, MATCH(X$1, Prévision!$B:$B, 0) + ROWS($1:4)), "") = 0), "", IFERROR(INDEX(Prévision!$C:$C, MATCH(X$1, Prévision!$B:$B, 0) + ROWS($1:4)), ""))</f>
        <v/>
      </c>
      <c r="Y5" t="str" cm="1">
        <f t="array" aca="1" ref="Y5" ca="1">IF(OR(OFFSET(INDIRECT(ADDRESS(ROW(), COLUMN())), -1, 0) = "",  IFERROR(INDEX(Prévision!$C:$C, MATCH(Y$1, Prévision!$B:$B, 0) + ROWS($1:4)), "") = 0), "", IFERROR(INDEX(Prévision!$C:$C, MATCH(Y$1, Prévision!$B:$B, 0) + ROWS($1:4)), ""))</f>
        <v/>
      </c>
      <c r="Z5" t="str" cm="1">
        <f t="array" aca="1" ref="Z5" ca="1">IF(OR(OFFSET(INDIRECT(ADDRESS(ROW(), COLUMN())), -1, 0) = "",  IFERROR(INDEX(Prévision!$C:$C, MATCH(Z$1, Prévision!$B:$B, 0) + ROWS($1:4)), "") = 0), "", IFERROR(INDEX(Prévision!$C:$C, MATCH(Z$1, Prévision!$B:$B, 0) + ROWS($1:4)), ""))</f>
        <v/>
      </c>
    </row>
    <row r="6" spans="1:26" x14ac:dyDescent="0.35">
      <c r="A6" t="str" cm="1">
        <f t="array" ref="A6">IFERROR(INDEX(Prévision!B:B, SMALL(IF(Prévision!B:B&lt;&gt;"", ROW(Prévision!B:B)), ROW(5:5))), "")</f>
        <v>Activités</v>
      </c>
      <c r="C6" t="str" cm="1">
        <f t="array" aca="1" ref="C6" ca="1">IF(OR(OFFSET(INDIRECT(ADDRESS(ROW(), COLUMN())), -1, 0) = "",  IFERROR(INDEX(Prévision!$C:$C, MATCH(C$1, Prévision!$B:$B, 0) + ROWS($1:5)), "") = 0), "", IFERROR(INDEX(Prévision!$C:$C, MATCH(C$1, Prévision!$B:$B, 0) + ROWS($1:5)), ""))</f>
        <v/>
      </c>
      <c r="D6" t="str" cm="1">
        <f t="array" aca="1" ref="D6" ca="1">IF(OR(OFFSET(INDIRECT(ADDRESS(ROW(), COLUMN())), -1, 0) = "",  IFERROR(INDEX(Prévision!$C:$C, MATCH(D$1, Prévision!$B:$B, 0) + ROWS($1:5)), "") = 0), "", IFERROR(INDEX(Prévision!$C:$C, MATCH(D$1, Prévision!$B:$B, 0) + ROWS($1:5)), ""))</f>
        <v/>
      </c>
      <c r="E6" t="str" cm="1">
        <f t="array" aca="1" ref="E6" ca="1">IF(OR(OFFSET(INDIRECT(ADDRESS(ROW(), COLUMN())), -1, 0) = "",  IFERROR(INDEX(Prévision!$C:$C, MATCH(E$1, Prévision!$B:$B, 0) + ROWS($1:5)), "") = 0), "", IFERROR(INDEX(Prévision!$C:$C, MATCH(E$1, Prévision!$B:$B, 0) + ROWS($1:5)), ""))</f>
        <v/>
      </c>
      <c r="F6" t="str" cm="1">
        <f t="array" aca="1" ref="F6" ca="1">IF(OR(OFFSET(INDIRECT(ADDRESS(ROW(), COLUMN())), -1, 0) = "",  IFERROR(INDEX(Prévision!$C:$C, MATCH(F$1, Prévision!$B:$B, 0) + ROWS($1:5)), "") = 0), "", IFERROR(INDEX(Prévision!$C:$C, MATCH(F$1, Prévision!$B:$B, 0) + ROWS($1:5)), ""))</f>
        <v/>
      </c>
      <c r="G6" t="str" cm="1">
        <f t="array" aca="1" ref="G6" ca="1">IF(OR(OFFSET(INDIRECT(ADDRESS(ROW(), COLUMN())), -1, 0) = "",  IFERROR(INDEX(Prévision!$C:$C, MATCH(G$1, Prévision!$B:$B, 0) + ROWS($1:5)), "") = 0), "", IFERROR(INDEX(Prévision!$C:$C, MATCH(G$1, Prévision!$B:$B, 0) + ROWS($1:5)), ""))</f>
        <v/>
      </c>
      <c r="H6" t="str" cm="1">
        <f t="array" aca="1" ref="H6" ca="1">IF(OR(OFFSET(INDIRECT(ADDRESS(ROW(), COLUMN())), -1, 0) = "",  IFERROR(INDEX(Prévision!$C:$C, MATCH(H$1, Prévision!$B:$B, 0) + ROWS($1:5)), "") = 0), "", IFERROR(INDEX(Prévision!$C:$C, MATCH(H$1, Prévision!$B:$B, 0) + ROWS($1:5)), ""))</f>
        <v/>
      </c>
      <c r="I6" t="str" cm="1">
        <f t="array" aca="1" ref="I6" ca="1">IF(OR(OFFSET(INDIRECT(ADDRESS(ROW(), COLUMN())), -1, 0) = "",  IFERROR(INDEX(Prévision!$C:$C, MATCH(I$1, Prévision!$B:$B, 0) + ROWS($1:5)), "") = 0), "", IFERROR(INDEX(Prévision!$C:$C, MATCH(I$1, Prévision!$B:$B, 0) + ROWS($1:5)), ""))</f>
        <v/>
      </c>
      <c r="J6" t="str" cm="1">
        <f t="array" aca="1" ref="J6" ca="1">IF(OR(OFFSET(INDIRECT(ADDRESS(ROW(), COLUMN())), -1, 0) = "",  IFERROR(INDEX(Prévision!$C:$C, MATCH(J$1, Prévision!$B:$B, 0) + ROWS($1:5)), "") = 0), "", IFERROR(INDEX(Prévision!$C:$C, MATCH(J$1, Prévision!$B:$B, 0) + ROWS($1:5)), ""))</f>
        <v>Matériel et équipement</v>
      </c>
      <c r="K6" t="str" cm="1">
        <f t="array" aca="1" ref="K6" ca="1">IF(OR(OFFSET(INDIRECT(ADDRESS(ROW(), COLUMN())), -1, 0) = "",  IFERROR(INDEX(Prévision!$C:$C, MATCH(K$1, Prévision!$B:$B, 0) + ROWS($1:5)), "") = 0), "", IFERROR(INDEX(Prévision!$C:$C, MATCH(K$1, Prévision!$B:$B, 0) + ROWS($1:5)), ""))</f>
        <v/>
      </c>
      <c r="L6" t="str" cm="1">
        <f t="array" aca="1" ref="L6" ca="1">IF(OR(OFFSET(INDIRECT(ADDRESS(ROW(), COLUMN())), -1, 0) = "",  IFERROR(INDEX(Prévision!$C:$C, MATCH(L$1, Prévision!$B:$B, 0) + ROWS($1:5)), "") = 0), "", IFERROR(INDEX(Prévision!$C:$C, MATCH(L$1, Prévision!$B:$B, 0) + ROWS($1:5)), ""))</f>
        <v/>
      </c>
      <c r="M6" t="str" cm="1">
        <f t="array" aca="1" ref="M6" ca="1">IF(OR(OFFSET(INDIRECT(ADDRESS(ROW(), COLUMN())), -1, 0) = "",  IFERROR(INDEX(Prévision!$C:$C, MATCH(M$1, Prévision!$B:$B, 0) + ROWS($1:5)), "") = 0), "", IFERROR(INDEX(Prévision!$C:$C, MATCH(M$1, Prévision!$B:$B, 0) + ROWS($1:5)), ""))</f>
        <v/>
      </c>
      <c r="N6" t="str" cm="1">
        <f t="array" aca="1" ref="N6" ca="1">IF(OR(OFFSET(INDIRECT(ADDRESS(ROW(), COLUMN())), -1, 0) = "",  IFERROR(INDEX(Prévision!$C:$C, MATCH(N$1, Prévision!$B:$B, 0) + ROWS($1:5)), "") = 0), "", IFERROR(INDEX(Prévision!$C:$C, MATCH(N$1, Prévision!$B:$B, 0) + ROWS($1:5)), ""))</f>
        <v/>
      </c>
      <c r="O6" t="str" cm="1">
        <f t="array" aca="1" ref="O6" ca="1">IF(OR(OFFSET(INDIRECT(ADDRESS(ROW(), COLUMN())), -1, 0) = "",  IFERROR(INDEX(Prévision!$C:$C, MATCH(O$1, Prévision!$B:$B, 0) + ROWS($1:5)), "") = 0), "", IFERROR(INDEX(Prévision!$C:$C, MATCH(O$1, Prévision!$B:$B, 0) + ROWS($1:5)), ""))</f>
        <v/>
      </c>
      <c r="P6" t="str" cm="1">
        <f t="array" aca="1" ref="P6" ca="1">IF(OR(OFFSET(INDIRECT(ADDRESS(ROW(), COLUMN())), -1, 0) = "",  IFERROR(INDEX(Prévision!$C:$C, MATCH(P$1, Prévision!$B:$B, 0) + ROWS($1:5)), "") = 0), "", IFERROR(INDEX(Prévision!$C:$C, MATCH(P$1, Prévision!$B:$B, 0) + ROWS($1:5)), ""))</f>
        <v>Autre</v>
      </c>
      <c r="Q6" t="str" cm="1">
        <f t="array" aca="1" ref="Q6" ca="1">IF(OR(OFFSET(INDIRECT(ADDRESS(ROW(), COLUMN())), -1, 0) = "",  IFERROR(INDEX(Prévision!$C:$C, MATCH(Q$1, Prévision!$B:$B, 0) + ROWS($1:5)), "") = 0), "", IFERROR(INDEX(Prévision!$C:$C, MATCH(Q$1, Prévision!$B:$B, 0) + ROWS($1:5)), ""))</f>
        <v/>
      </c>
      <c r="R6" t="str" cm="1">
        <f t="array" aca="1" ref="R6" ca="1">IF(OR(OFFSET(INDIRECT(ADDRESS(ROW(), COLUMN())), -1, 0) = "",  IFERROR(INDEX(Prévision!$C:$C, MATCH(R$1, Prévision!$B:$B, 0) + ROWS($1:5)), "") = 0), "", IFERROR(INDEX(Prévision!$C:$C, MATCH(R$1, Prévision!$B:$B, 0) + ROWS($1:5)), ""))</f>
        <v/>
      </c>
      <c r="S6" t="str" cm="1">
        <f t="array" aca="1" ref="S6" ca="1">IF(OR(OFFSET(INDIRECT(ADDRESS(ROW(), COLUMN())), -1, 0) = "",  IFERROR(INDEX(Prévision!$C:$C, MATCH(S$1, Prévision!$B:$B, 0) + ROWS($1:5)), "") = 0), "", IFERROR(INDEX(Prévision!$C:$C, MATCH(S$1, Prévision!$B:$B, 0) + ROWS($1:5)), ""))</f>
        <v/>
      </c>
      <c r="T6" t="str" cm="1">
        <f t="array" aca="1" ref="T6" ca="1">IF(OR(OFFSET(INDIRECT(ADDRESS(ROW(), COLUMN())), -1, 0) = "",  IFERROR(INDEX(Prévision!$C:$C, MATCH(T$1, Prévision!$B:$B, 0) + ROWS($1:5)), "") = 0), "", IFERROR(INDEX(Prévision!$C:$C, MATCH(T$1, Prévision!$B:$B, 0) + ROWS($1:5)), ""))</f>
        <v/>
      </c>
      <c r="U6" t="str" cm="1">
        <f t="array" aca="1" ref="U6" ca="1">IF(OR(OFFSET(INDIRECT(ADDRESS(ROW(), COLUMN())), -1, 0) = "",  IFERROR(INDEX(Prévision!$C:$C, MATCH(U$1, Prévision!$B:$B, 0) + ROWS($1:5)), "") = 0), "", IFERROR(INDEX(Prévision!$C:$C, MATCH(U$1, Prévision!$B:$B, 0) + ROWS($1:5)), ""))</f>
        <v/>
      </c>
      <c r="V6" t="str" cm="1">
        <f t="array" aca="1" ref="V6" ca="1">IF(OR(OFFSET(INDIRECT(ADDRESS(ROW(), COLUMN())), -1, 0) = "",  IFERROR(INDEX(Prévision!$C:$C, MATCH(V$1, Prévision!$B:$B, 0) + ROWS($1:5)), "") = 0), "", IFERROR(INDEX(Prévision!$C:$C, MATCH(V$1, Prévision!$B:$B, 0) + ROWS($1:5)), ""))</f>
        <v/>
      </c>
      <c r="W6" t="str" cm="1">
        <f t="array" aca="1" ref="W6" ca="1">IF(OR(OFFSET(INDIRECT(ADDRESS(ROW(), COLUMN())), -1, 0) = "",  IFERROR(INDEX(Prévision!$C:$C, MATCH(W$1, Prévision!$B:$B, 0) + ROWS($1:5)), "") = 0), "", IFERROR(INDEX(Prévision!$C:$C, MATCH(W$1, Prévision!$B:$B, 0) + ROWS($1:5)), ""))</f>
        <v/>
      </c>
      <c r="X6" t="str" cm="1">
        <f t="array" aca="1" ref="X6" ca="1">IF(OR(OFFSET(INDIRECT(ADDRESS(ROW(), COLUMN())), -1, 0) = "",  IFERROR(INDEX(Prévision!$C:$C, MATCH(X$1, Prévision!$B:$B, 0) + ROWS($1:5)), "") = 0), "", IFERROR(INDEX(Prévision!$C:$C, MATCH(X$1, Prévision!$B:$B, 0) + ROWS($1:5)), ""))</f>
        <v/>
      </c>
      <c r="Y6" t="str" cm="1">
        <f t="array" aca="1" ref="Y6" ca="1">IF(OR(OFFSET(INDIRECT(ADDRESS(ROW(), COLUMN())), -1, 0) = "",  IFERROR(INDEX(Prévision!$C:$C, MATCH(Y$1, Prévision!$B:$B, 0) + ROWS($1:5)), "") = 0), "", IFERROR(INDEX(Prévision!$C:$C, MATCH(Y$1, Prévision!$B:$B, 0) + ROWS($1:5)), ""))</f>
        <v/>
      </c>
      <c r="Z6" t="str" cm="1">
        <f t="array" aca="1" ref="Z6" ca="1">IF(OR(OFFSET(INDIRECT(ADDRESS(ROW(), COLUMN())), -1, 0) = "",  IFERROR(INDEX(Prévision!$C:$C, MATCH(Z$1, Prévision!$B:$B, 0) + ROWS($1:5)), "") = 0), "", IFERROR(INDEX(Prévision!$C:$C, MATCH(Z$1, Prévision!$B:$B, 0) + ROWS($1:5)), ""))</f>
        <v/>
      </c>
    </row>
    <row r="7" spans="1:26" x14ac:dyDescent="0.35">
      <c r="A7" t="str" cm="1">
        <f t="array" ref="A7">IFERROR(INDEX(Prévision!B:B, SMALL(IF(Prévision!B:B&lt;&gt;"", ROW(Prévision!B:B)), ROW(6:6))), "")</f>
        <v>Club Café</v>
      </c>
      <c r="C7" t="str" cm="1">
        <f t="array" aca="1" ref="C7" ca="1">IF(OR(OFFSET(INDIRECT(ADDRESS(ROW(), COLUMN())), -1, 0) = "",  IFERROR(INDEX(Prévision!$C:$C, MATCH(C$1, Prévision!$B:$B, 0) + ROWS($1:6)), "") = 0), "", IFERROR(INDEX(Prévision!$C:$C, MATCH(C$1, Prévision!$B:$B, 0) + ROWS($1:6)), ""))</f>
        <v/>
      </c>
      <c r="D7" t="str" cm="1">
        <f t="array" aca="1" ref="D7" ca="1">IF(OR(OFFSET(INDIRECT(ADDRESS(ROW(), COLUMN())), -1, 0) = "",  IFERROR(INDEX(Prévision!$C:$C, MATCH(D$1, Prévision!$B:$B, 0) + ROWS($1:6)), "") = 0), "", IFERROR(INDEX(Prévision!$C:$C, MATCH(D$1, Prévision!$B:$B, 0) + ROWS($1:6)), ""))</f>
        <v/>
      </c>
      <c r="E7" t="str" cm="1">
        <f t="array" aca="1" ref="E7" ca="1">IF(OR(OFFSET(INDIRECT(ADDRESS(ROW(), COLUMN())), -1, 0) = "",  IFERROR(INDEX(Prévision!$C:$C, MATCH(E$1, Prévision!$B:$B, 0) + ROWS($1:6)), "") = 0), "", IFERROR(INDEX(Prévision!$C:$C, MATCH(E$1, Prévision!$B:$B, 0) + ROWS($1:6)), ""))</f>
        <v/>
      </c>
      <c r="F7" t="str" cm="1">
        <f t="array" aca="1" ref="F7" ca="1">IF(OR(OFFSET(INDIRECT(ADDRESS(ROW(), COLUMN())), -1, 0) = "",  IFERROR(INDEX(Prévision!$C:$C, MATCH(F$1, Prévision!$B:$B, 0) + ROWS($1:6)), "") = 0), "", IFERROR(INDEX(Prévision!$C:$C, MATCH(F$1, Prévision!$B:$B, 0) + ROWS($1:6)), ""))</f>
        <v/>
      </c>
      <c r="G7" t="str" cm="1">
        <f t="array" aca="1" ref="G7" ca="1">IF(OR(OFFSET(INDIRECT(ADDRESS(ROW(), COLUMN())), -1, 0) = "",  IFERROR(INDEX(Prévision!$C:$C, MATCH(G$1, Prévision!$B:$B, 0) + ROWS($1:6)), "") = 0), "", IFERROR(INDEX(Prévision!$C:$C, MATCH(G$1, Prévision!$B:$B, 0) + ROWS($1:6)), ""))</f>
        <v/>
      </c>
      <c r="H7" t="str" cm="1">
        <f t="array" aca="1" ref="H7" ca="1">IF(OR(OFFSET(INDIRECT(ADDRESS(ROW(), COLUMN())), -1, 0) = "",  IFERROR(INDEX(Prévision!$C:$C, MATCH(H$1, Prévision!$B:$B, 0) + ROWS($1:6)), "") = 0), "", IFERROR(INDEX(Prévision!$C:$C, MATCH(H$1, Prévision!$B:$B, 0) + ROWS($1:6)), ""))</f>
        <v/>
      </c>
      <c r="I7" t="str" cm="1">
        <f t="array" aca="1" ref="I7" ca="1">IF(OR(OFFSET(INDIRECT(ADDRESS(ROW(), COLUMN())), -1, 0) = "",  IFERROR(INDEX(Prévision!$C:$C, MATCH(I$1, Prévision!$B:$B, 0) + ROWS($1:6)), "") = 0), "", IFERROR(INDEX(Prévision!$C:$C, MATCH(I$1, Prévision!$B:$B, 0) + ROWS($1:6)), ""))</f>
        <v/>
      </c>
      <c r="J7" t="str" cm="1">
        <f t="array" aca="1" ref="J7" ca="1">IF(OR(OFFSET(INDIRECT(ADDRESS(ROW(), COLUMN())), -1, 0) = "",  IFERROR(INDEX(Prévision!$C:$C, MATCH(J$1, Prévision!$B:$B, 0) + ROWS($1:6)), "") = 0), "", IFERROR(INDEX(Prévision!$C:$C, MATCH(J$1, Prévision!$B:$B, 0) + ROWS($1:6)), ""))</f>
        <v>Logement</v>
      </c>
      <c r="K7" t="str" cm="1">
        <f t="array" aca="1" ref="K7" ca="1">IF(OR(OFFSET(INDIRECT(ADDRESS(ROW(), COLUMN())), -1, 0) = "",  IFERROR(INDEX(Prévision!$C:$C, MATCH(K$1, Prévision!$B:$B, 0) + ROWS($1:6)), "") = 0), "", IFERROR(INDEX(Prévision!$C:$C, MATCH(K$1, Prévision!$B:$B, 0) + ROWS($1:6)), ""))</f>
        <v/>
      </c>
      <c r="L7" t="str" cm="1">
        <f t="array" aca="1" ref="L7" ca="1">IF(OR(OFFSET(INDIRECT(ADDRESS(ROW(), COLUMN())), -1, 0) = "",  IFERROR(INDEX(Prévision!$C:$C, MATCH(L$1, Prévision!$B:$B, 0) + ROWS($1:6)), "") = 0), "", IFERROR(INDEX(Prévision!$C:$C, MATCH(L$1, Prévision!$B:$B, 0) + ROWS($1:6)), ""))</f>
        <v/>
      </c>
      <c r="M7" t="str" cm="1">
        <f t="array" aca="1" ref="M7" ca="1">IF(OR(OFFSET(INDIRECT(ADDRESS(ROW(), COLUMN())), -1, 0) = "",  IFERROR(INDEX(Prévision!$C:$C, MATCH(M$1, Prévision!$B:$B, 0) + ROWS($1:6)), "") = 0), "", IFERROR(INDEX(Prévision!$C:$C, MATCH(M$1, Prévision!$B:$B, 0) + ROWS($1:6)), ""))</f>
        <v/>
      </c>
      <c r="N7" t="str" cm="1">
        <f t="array" aca="1" ref="N7" ca="1">IF(OR(OFFSET(INDIRECT(ADDRESS(ROW(), COLUMN())), -1, 0) = "",  IFERROR(INDEX(Prévision!$C:$C, MATCH(N$1, Prévision!$B:$B, 0) + ROWS($1:6)), "") = 0), "", IFERROR(INDEX(Prévision!$C:$C, MATCH(N$1, Prévision!$B:$B, 0) + ROWS($1:6)), ""))</f>
        <v/>
      </c>
      <c r="O7" t="str" cm="1">
        <f t="array" aca="1" ref="O7" ca="1">IF(OR(OFFSET(INDIRECT(ADDRESS(ROW(), COLUMN())), -1, 0) = "",  IFERROR(INDEX(Prévision!$C:$C, MATCH(O$1, Prévision!$B:$B, 0) + ROWS($1:6)), "") = 0), "", IFERROR(INDEX(Prévision!$C:$C, MATCH(O$1, Prévision!$B:$B, 0) + ROWS($1:6)), ""))</f>
        <v/>
      </c>
      <c r="P7" t="str" cm="1">
        <f t="array" aca="1" ref="P7" ca="1">IF(OR(OFFSET(INDIRECT(ADDRESS(ROW(), COLUMN())), -1, 0) = "",  IFERROR(INDEX(Prévision!$C:$C, MATCH(P$1, Prévision!$B:$B, 0) + ROWS($1:6)), "") = 0), "", IFERROR(INDEX(Prévision!$C:$C, MATCH(P$1, Prévision!$B:$B, 0) + ROWS($1:6)), ""))</f>
        <v/>
      </c>
      <c r="Q7" t="str" cm="1">
        <f t="array" aca="1" ref="Q7" ca="1">IF(OR(OFFSET(INDIRECT(ADDRESS(ROW(), COLUMN())), -1, 0) = "",  IFERROR(INDEX(Prévision!$C:$C, MATCH(Q$1, Prévision!$B:$B, 0) + ROWS($1:6)), "") = 0), "", IFERROR(INDEX(Prévision!$C:$C, MATCH(Q$1, Prévision!$B:$B, 0) + ROWS($1:6)), ""))</f>
        <v/>
      </c>
      <c r="R7" t="str" cm="1">
        <f t="array" aca="1" ref="R7" ca="1">IF(OR(OFFSET(INDIRECT(ADDRESS(ROW(), COLUMN())), -1, 0) = "",  IFERROR(INDEX(Prévision!$C:$C, MATCH(R$1, Prévision!$B:$B, 0) + ROWS($1:6)), "") = 0), "", IFERROR(INDEX(Prévision!$C:$C, MATCH(R$1, Prévision!$B:$B, 0) + ROWS($1:6)), ""))</f>
        <v/>
      </c>
      <c r="S7" t="str" cm="1">
        <f t="array" aca="1" ref="S7" ca="1">IF(OR(OFFSET(INDIRECT(ADDRESS(ROW(), COLUMN())), -1, 0) = "",  IFERROR(INDEX(Prévision!$C:$C, MATCH(S$1, Prévision!$B:$B, 0) + ROWS($1:6)), "") = 0), "", IFERROR(INDEX(Prévision!$C:$C, MATCH(S$1, Prévision!$B:$B, 0) + ROWS($1:6)), ""))</f>
        <v/>
      </c>
      <c r="T7" t="str" cm="1">
        <f t="array" aca="1" ref="T7" ca="1">IF(OR(OFFSET(INDIRECT(ADDRESS(ROW(), COLUMN())), -1, 0) = "",  IFERROR(INDEX(Prévision!$C:$C, MATCH(T$1, Prévision!$B:$B, 0) + ROWS($1:6)), "") = 0), "", IFERROR(INDEX(Prévision!$C:$C, MATCH(T$1, Prévision!$B:$B, 0) + ROWS($1:6)), ""))</f>
        <v/>
      </c>
      <c r="U7" t="str" cm="1">
        <f t="array" aca="1" ref="U7" ca="1">IF(OR(OFFSET(INDIRECT(ADDRESS(ROW(), COLUMN())), -1, 0) = "",  IFERROR(INDEX(Prévision!$C:$C, MATCH(U$1, Prévision!$B:$B, 0) + ROWS($1:6)), "") = 0), "", IFERROR(INDEX(Prévision!$C:$C, MATCH(U$1, Prévision!$B:$B, 0) + ROWS($1:6)), ""))</f>
        <v/>
      </c>
      <c r="V7" t="str" cm="1">
        <f t="array" aca="1" ref="V7" ca="1">IF(OR(OFFSET(INDIRECT(ADDRESS(ROW(), COLUMN())), -1, 0) = "",  IFERROR(INDEX(Prévision!$C:$C, MATCH(V$1, Prévision!$B:$B, 0) + ROWS($1:6)), "") = 0), "", IFERROR(INDEX(Prévision!$C:$C, MATCH(V$1, Prévision!$B:$B, 0) + ROWS($1:6)), ""))</f>
        <v/>
      </c>
      <c r="W7" t="str" cm="1">
        <f t="array" aca="1" ref="W7" ca="1">IF(OR(OFFSET(INDIRECT(ADDRESS(ROW(), COLUMN())), -1, 0) = "",  IFERROR(INDEX(Prévision!$C:$C, MATCH(W$1, Prévision!$B:$B, 0) + ROWS($1:6)), "") = 0), "", IFERROR(INDEX(Prévision!$C:$C, MATCH(W$1, Prévision!$B:$B, 0) + ROWS($1:6)), ""))</f>
        <v/>
      </c>
      <c r="X7" t="str" cm="1">
        <f t="array" aca="1" ref="X7" ca="1">IF(OR(OFFSET(INDIRECT(ADDRESS(ROW(), COLUMN())), -1, 0) = "",  IFERROR(INDEX(Prévision!$C:$C, MATCH(X$1, Prévision!$B:$B, 0) + ROWS($1:6)), "") = 0), "", IFERROR(INDEX(Prévision!$C:$C, MATCH(X$1, Prévision!$B:$B, 0) + ROWS($1:6)), ""))</f>
        <v/>
      </c>
      <c r="Y7" t="str" cm="1">
        <f t="array" aca="1" ref="Y7" ca="1">IF(OR(OFFSET(INDIRECT(ADDRESS(ROW(), COLUMN())), -1, 0) = "",  IFERROR(INDEX(Prévision!$C:$C, MATCH(Y$1, Prévision!$B:$B, 0) + ROWS($1:6)), "") = 0), "", IFERROR(INDEX(Prévision!$C:$C, MATCH(Y$1, Prévision!$B:$B, 0) + ROWS($1:6)), ""))</f>
        <v/>
      </c>
      <c r="Z7" t="str" cm="1">
        <f t="array" aca="1" ref="Z7" ca="1">IF(OR(OFFSET(INDIRECT(ADDRESS(ROW(), COLUMN())), -1, 0) = "",  IFERROR(INDEX(Prévision!$C:$C, MATCH(Z$1, Prévision!$B:$B, 0) + ROWS($1:6)), "") = 0), "", IFERROR(INDEX(Prévision!$C:$C, MATCH(Z$1, Prévision!$B:$B, 0) + ROWS($1:6)), ""))</f>
        <v/>
      </c>
    </row>
    <row r="8" spans="1:26" x14ac:dyDescent="0.35">
      <c r="A8" t="str" cm="1">
        <f t="array" ref="A8">IFERROR(INDEX(Prévision!B:B, SMALL(IF(Prévision!B:B&lt;&gt;"", ROW(Prévision!B:B)), ROW(7:7))), "")</f>
        <v>Concours</v>
      </c>
      <c r="C8" t="str" cm="1">
        <f t="array" aca="1" ref="C8" ca="1">IF(OR(OFFSET(INDIRECT(ADDRESS(ROW(), COLUMN())), -1, 0) = "",  IFERROR(INDEX(Prévision!$C:$C, MATCH(C$1, Prévision!$B:$B, 0) + ROWS($1:7)), "") = 0), "", IFERROR(INDEX(Prévision!$C:$C, MATCH(C$1, Prévision!$B:$B, 0) + ROWS($1:7)), ""))</f>
        <v/>
      </c>
      <c r="D8" t="str" cm="1">
        <f t="array" aca="1" ref="D8" ca="1">IF(OR(OFFSET(INDIRECT(ADDRESS(ROW(), COLUMN())), -1, 0) = "",  IFERROR(INDEX(Prévision!$C:$C, MATCH(D$1, Prévision!$B:$B, 0) + ROWS($1:7)), "") = 0), "", IFERROR(INDEX(Prévision!$C:$C, MATCH(D$1, Prévision!$B:$B, 0) + ROWS($1:7)), ""))</f>
        <v/>
      </c>
      <c r="E8" t="str" cm="1">
        <f t="array" aca="1" ref="E8" ca="1">IF(OR(OFFSET(INDIRECT(ADDRESS(ROW(), COLUMN())), -1, 0) = "",  IFERROR(INDEX(Prévision!$C:$C, MATCH(E$1, Prévision!$B:$B, 0) + ROWS($1:7)), "") = 0), "", IFERROR(INDEX(Prévision!$C:$C, MATCH(E$1, Prévision!$B:$B, 0) + ROWS($1:7)), ""))</f>
        <v/>
      </c>
      <c r="F8" t="str" cm="1">
        <f t="array" aca="1" ref="F8" ca="1">IF(OR(OFFSET(INDIRECT(ADDRESS(ROW(), COLUMN())), -1, 0) = "",  IFERROR(INDEX(Prévision!$C:$C, MATCH(F$1, Prévision!$B:$B, 0) + ROWS($1:7)), "") = 0), "", IFERROR(INDEX(Prévision!$C:$C, MATCH(F$1, Prévision!$B:$B, 0) + ROWS($1:7)), ""))</f>
        <v/>
      </c>
      <c r="G8" t="str" cm="1">
        <f t="array" aca="1" ref="G8" ca="1">IF(OR(OFFSET(INDIRECT(ADDRESS(ROW(), COLUMN())), -1, 0) = "",  IFERROR(INDEX(Prévision!$C:$C, MATCH(G$1, Prévision!$B:$B, 0) + ROWS($1:7)), "") = 0), "", IFERROR(INDEX(Prévision!$C:$C, MATCH(G$1, Prévision!$B:$B, 0) + ROWS($1:7)), ""))</f>
        <v/>
      </c>
      <c r="H8" t="str" cm="1">
        <f t="array" aca="1" ref="H8" ca="1">IF(OR(OFFSET(INDIRECT(ADDRESS(ROW(), COLUMN())), -1, 0) = "",  IFERROR(INDEX(Prévision!$C:$C, MATCH(H$1, Prévision!$B:$B, 0) + ROWS($1:7)), "") = 0), "", IFERROR(INDEX(Prévision!$C:$C, MATCH(H$1, Prévision!$B:$B, 0) + ROWS($1:7)), ""))</f>
        <v/>
      </c>
      <c r="I8" t="str" cm="1">
        <f t="array" aca="1" ref="I8" ca="1">IF(OR(OFFSET(INDIRECT(ADDRESS(ROW(), COLUMN())), -1, 0) = "",  IFERROR(INDEX(Prévision!$C:$C, MATCH(I$1, Prévision!$B:$B, 0) + ROWS($1:7)), "") = 0), "", IFERROR(INDEX(Prévision!$C:$C, MATCH(I$1, Prévision!$B:$B, 0) + ROWS($1:7)), ""))</f>
        <v/>
      </c>
      <c r="J8" t="str" cm="1">
        <f t="array" aca="1" ref="J8" ca="1">IF(OR(OFFSET(INDIRECT(ADDRESS(ROW(), COLUMN())), -1, 0) = "",  IFERROR(INDEX(Prévision!$C:$C, MATCH(J$1, Prévision!$B:$B, 0) + ROWS($1:7)), "") = 0), "", IFERROR(INDEX(Prévision!$C:$C, MATCH(J$1, Prévision!$B:$B, 0) + ROWS($1:7)), ""))</f>
        <v>Autre</v>
      </c>
      <c r="K8" t="str" cm="1">
        <f t="array" aca="1" ref="K8" ca="1">IF(OR(OFFSET(INDIRECT(ADDRESS(ROW(), COLUMN())), -1, 0) = "",  IFERROR(INDEX(Prévision!$C:$C, MATCH(K$1, Prévision!$B:$B, 0) + ROWS($1:7)), "") = 0), "", IFERROR(INDEX(Prévision!$C:$C, MATCH(K$1, Prévision!$B:$B, 0) + ROWS($1:7)), ""))</f>
        <v/>
      </c>
      <c r="L8" t="str" cm="1">
        <f t="array" aca="1" ref="L8" ca="1">IF(OR(OFFSET(INDIRECT(ADDRESS(ROW(), COLUMN())), -1, 0) = "",  IFERROR(INDEX(Prévision!$C:$C, MATCH(L$1, Prévision!$B:$B, 0) + ROWS($1:7)), "") = 0), "", IFERROR(INDEX(Prévision!$C:$C, MATCH(L$1, Prévision!$B:$B, 0) + ROWS($1:7)), ""))</f>
        <v/>
      </c>
      <c r="M8" t="str" cm="1">
        <f t="array" aca="1" ref="M8" ca="1">IF(OR(OFFSET(INDIRECT(ADDRESS(ROW(), COLUMN())), -1, 0) = "",  IFERROR(INDEX(Prévision!$C:$C, MATCH(M$1, Prévision!$B:$B, 0) + ROWS($1:7)), "") = 0), "", IFERROR(INDEX(Prévision!$C:$C, MATCH(M$1, Prévision!$B:$B, 0) + ROWS($1:7)), ""))</f>
        <v/>
      </c>
      <c r="N8" t="str" cm="1">
        <f t="array" aca="1" ref="N8" ca="1">IF(OR(OFFSET(INDIRECT(ADDRESS(ROW(), COLUMN())), -1, 0) = "",  IFERROR(INDEX(Prévision!$C:$C, MATCH(N$1, Prévision!$B:$B, 0) + ROWS($1:7)), "") = 0), "", IFERROR(INDEX(Prévision!$C:$C, MATCH(N$1, Prévision!$B:$B, 0) + ROWS($1:7)), ""))</f>
        <v/>
      </c>
      <c r="O8" t="str" cm="1">
        <f t="array" aca="1" ref="O8" ca="1">IF(OR(OFFSET(INDIRECT(ADDRESS(ROW(), COLUMN())), -1, 0) = "",  IFERROR(INDEX(Prévision!$C:$C, MATCH(O$1, Prévision!$B:$B, 0) + ROWS($1:7)), "") = 0), "", IFERROR(INDEX(Prévision!$C:$C, MATCH(O$1, Prévision!$B:$B, 0) + ROWS($1:7)), ""))</f>
        <v/>
      </c>
      <c r="P8" t="str" cm="1">
        <f t="array" aca="1" ref="P8" ca="1">IF(OR(OFFSET(INDIRECT(ADDRESS(ROW(), COLUMN())), -1, 0) = "",  IFERROR(INDEX(Prévision!$C:$C, MATCH(P$1, Prévision!$B:$B, 0) + ROWS($1:7)), "") = 0), "", IFERROR(INDEX(Prévision!$C:$C, MATCH(P$1, Prévision!$B:$B, 0) + ROWS($1:7)), ""))</f>
        <v/>
      </c>
      <c r="Q8" t="str" cm="1">
        <f t="array" aca="1" ref="Q8" ca="1">IF(OR(OFFSET(INDIRECT(ADDRESS(ROW(), COLUMN())), -1, 0) = "",  IFERROR(INDEX(Prévision!$C:$C, MATCH(Q$1, Prévision!$B:$B, 0) + ROWS($1:7)), "") = 0), "", IFERROR(INDEX(Prévision!$C:$C, MATCH(Q$1, Prévision!$B:$B, 0) + ROWS($1:7)), ""))</f>
        <v/>
      </c>
      <c r="R8" t="str" cm="1">
        <f t="array" aca="1" ref="R8" ca="1">IF(OR(OFFSET(INDIRECT(ADDRESS(ROW(), COLUMN())), -1, 0) = "",  IFERROR(INDEX(Prévision!$C:$C, MATCH(R$1, Prévision!$B:$B, 0) + ROWS($1:7)), "") = 0), "", IFERROR(INDEX(Prévision!$C:$C, MATCH(R$1, Prévision!$B:$B, 0) + ROWS($1:7)), ""))</f>
        <v/>
      </c>
      <c r="S8" t="str" cm="1">
        <f t="array" aca="1" ref="S8" ca="1">IF(OR(OFFSET(INDIRECT(ADDRESS(ROW(), COLUMN())), -1, 0) = "",  IFERROR(INDEX(Prévision!$C:$C, MATCH(S$1, Prévision!$B:$B, 0) + ROWS($1:7)), "") = 0), "", IFERROR(INDEX(Prévision!$C:$C, MATCH(S$1, Prévision!$B:$B, 0) + ROWS($1:7)), ""))</f>
        <v/>
      </c>
      <c r="T8" t="str" cm="1">
        <f t="array" aca="1" ref="T8" ca="1">IF(OR(OFFSET(INDIRECT(ADDRESS(ROW(), COLUMN())), -1, 0) = "",  IFERROR(INDEX(Prévision!$C:$C, MATCH(T$1, Prévision!$B:$B, 0) + ROWS($1:7)), "") = 0), "", IFERROR(INDEX(Prévision!$C:$C, MATCH(T$1, Prévision!$B:$B, 0) + ROWS($1:7)), ""))</f>
        <v/>
      </c>
      <c r="U8" t="str" cm="1">
        <f t="array" aca="1" ref="U8" ca="1">IF(OR(OFFSET(INDIRECT(ADDRESS(ROW(), COLUMN())), -1, 0) = "",  IFERROR(INDEX(Prévision!$C:$C, MATCH(U$1, Prévision!$B:$B, 0) + ROWS($1:7)), "") = 0), "", IFERROR(INDEX(Prévision!$C:$C, MATCH(U$1, Prévision!$B:$B, 0) + ROWS($1:7)), ""))</f>
        <v/>
      </c>
      <c r="V8" t="str" cm="1">
        <f t="array" aca="1" ref="V8" ca="1">IF(OR(OFFSET(INDIRECT(ADDRESS(ROW(), COLUMN())), -1, 0) = "",  IFERROR(INDEX(Prévision!$C:$C, MATCH(V$1, Prévision!$B:$B, 0) + ROWS($1:7)), "") = 0), "", IFERROR(INDEX(Prévision!$C:$C, MATCH(V$1, Prévision!$B:$B, 0) + ROWS($1:7)), ""))</f>
        <v/>
      </c>
      <c r="W8" t="str" cm="1">
        <f t="array" aca="1" ref="W8" ca="1">IF(OR(OFFSET(INDIRECT(ADDRESS(ROW(), COLUMN())), -1, 0) = "",  IFERROR(INDEX(Prévision!$C:$C, MATCH(W$1, Prévision!$B:$B, 0) + ROWS($1:7)), "") = 0), "", IFERROR(INDEX(Prévision!$C:$C, MATCH(W$1, Prévision!$B:$B, 0) + ROWS($1:7)), ""))</f>
        <v/>
      </c>
      <c r="X8" t="str" cm="1">
        <f t="array" aca="1" ref="X8" ca="1">IF(OR(OFFSET(INDIRECT(ADDRESS(ROW(), COLUMN())), -1, 0) = "",  IFERROR(INDEX(Prévision!$C:$C, MATCH(X$1, Prévision!$B:$B, 0) + ROWS($1:7)), "") = 0), "", IFERROR(INDEX(Prévision!$C:$C, MATCH(X$1, Prévision!$B:$B, 0) + ROWS($1:7)), ""))</f>
        <v/>
      </c>
      <c r="Y8" t="str" cm="1">
        <f t="array" aca="1" ref="Y8" ca="1">IF(OR(OFFSET(INDIRECT(ADDRESS(ROW(), COLUMN())), -1, 0) = "",  IFERROR(INDEX(Prévision!$C:$C, MATCH(Y$1, Prévision!$B:$B, 0) + ROWS($1:7)), "") = 0), "", IFERROR(INDEX(Prévision!$C:$C, MATCH(Y$1, Prévision!$B:$B, 0) + ROWS($1:7)), ""))</f>
        <v/>
      </c>
      <c r="Z8" t="str" cm="1">
        <f t="array" aca="1" ref="Z8" ca="1">IF(OR(OFFSET(INDIRECT(ADDRESS(ROW(), COLUMN())), -1, 0) = "",  IFERROR(INDEX(Prévision!$C:$C, MATCH(Z$1, Prévision!$B:$B, 0) + ROWS($1:7)), "") = 0), "", IFERROR(INDEX(Prévision!$C:$C, MATCH(Z$1, Prévision!$B:$B, 0) + ROWS($1:7)), ""))</f>
        <v/>
      </c>
    </row>
    <row r="9" spans="1:26" x14ac:dyDescent="0.35">
      <c r="A9" t="str" cm="1">
        <f t="array" ref="A9">IFERROR(INDEX(Prévision!B:B, SMALL(IF(Prévision!B:B&lt;&gt;"", ROW(Prévision!B:B)), ROW(8:8))), "")</f>
        <v>CS Games</v>
      </c>
      <c r="C9" t="str" cm="1">
        <f t="array" aca="1" ref="C9" ca="1">IF(OR(OFFSET(INDIRECT(ADDRESS(ROW(), COLUMN())), -1, 0) = "",  IFERROR(INDEX(Prévision!$C:$C, MATCH(C$1, Prévision!$B:$B, 0) + ROWS($1:8)), "") = 0), "", IFERROR(INDEX(Prévision!$C:$C, MATCH(C$1, Prévision!$B:$B, 0) + ROWS($1:8)), ""))</f>
        <v/>
      </c>
      <c r="D9" t="str" cm="1">
        <f t="array" aca="1" ref="D9" ca="1">IF(OR(OFFSET(INDIRECT(ADDRESS(ROW(), COLUMN())), -1, 0) = "",  IFERROR(INDEX(Prévision!$C:$C, MATCH(D$1, Prévision!$B:$B, 0) + ROWS($1:8)), "") = 0), "", IFERROR(INDEX(Prévision!$C:$C, MATCH(D$1, Prévision!$B:$B, 0) + ROWS($1:8)), ""))</f>
        <v/>
      </c>
      <c r="E9" t="str" cm="1">
        <f t="array" aca="1" ref="E9" ca="1">IF(OR(OFFSET(INDIRECT(ADDRESS(ROW(), COLUMN())), -1, 0) = "",  IFERROR(INDEX(Prévision!$C:$C, MATCH(E$1, Prévision!$B:$B, 0) + ROWS($1:8)), "") = 0), "", IFERROR(INDEX(Prévision!$C:$C, MATCH(E$1, Prévision!$B:$B, 0) + ROWS($1:8)), ""))</f>
        <v/>
      </c>
      <c r="F9" t="str" cm="1">
        <f t="array" aca="1" ref="F9" ca="1">IF(OR(OFFSET(INDIRECT(ADDRESS(ROW(), COLUMN())), -1, 0) = "",  IFERROR(INDEX(Prévision!$C:$C, MATCH(F$1, Prévision!$B:$B, 0) + ROWS($1:8)), "") = 0), "", IFERROR(INDEX(Prévision!$C:$C, MATCH(F$1, Prévision!$B:$B, 0) + ROWS($1:8)), ""))</f>
        <v/>
      </c>
      <c r="G9" t="str" cm="1">
        <f t="array" aca="1" ref="G9" ca="1">IF(OR(OFFSET(INDIRECT(ADDRESS(ROW(), COLUMN())), -1, 0) = "",  IFERROR(INDEX(Prévision!$C:$C, MATCH(G$1, Prévision!$B:$B, 0) + ROWS($1:8)), "") = 0), "", IFERROR(INDEX(Prévision!$C:$C, MATCH(G$1, Prévision!$B:$B, 0) + ROWS($1:8)), ""))</f>
        <v/>
      </c>
      <c r="H9" t="str" cm="1">
        <f t="array" aca="1" ref="H9" ca="1">IF(OR(OFFSET(INDIRECT(ADDRESS(ROW(), COLUMN())), -1, 0) = "",  IFERROR(INDEX(Prévision!$C:$C, MATCH(H$1, Prévision!$B:$B, 0) + ROWS($1:8)), "") = 0), "", IFERROR(INDEX(Prévision!$C:$C, MATCH(H$1, Prévision!$B:$B, 0) + ROWS($1:8)), ""))</f>
        <v/>
      </c>
      <c r="I9" t="str" cm="1">
        <f t="array" aca="1" ref="I9" ca="1">IF(OR(OFFSET(INDIRECT(ADDRESS(ROW(), COLUMN())), -1, 0) = "",  IFERROR(INDEX(Prévision!$C:$C, MATCH(I$1, Prévision!$B:$B, 0) + ROWS($1:8)), "") = 0), "", IFERROR(INDEX(Prévision!$C:$C, MATCH(I$1, Prévision!$B:$B, 0) + ROWS($1:8)), ""))</f>
        <v/>
      </c>
      <c r="J9" t="str" cm="1">
        <f t="array" aca="1" ref="J9" ca="1">IF(OR(OFFSET(INDIRECT(ADDRESS(ROW(), COLUMN())), -1, 0) = "",  IFERROR(INDEX(Prévision!$C:$C, MATCH(J$1, Prévision!$B:$B, 0) + ROWS($1:8)), "") = 0), "", IFERROR(INDEX(Prévision!$C:$C, MATCH(J$1, Prévision!$B:$B, 0) + ROWS($1:8)), ""))</f>
        <v/>
      </c>
      <c r="K9" t="str" cm="1">
        <f t="array" aca="1" ref="K9" ca="1">IF(OR(OFFSET(INDIRECT(ADDRESS(ROW(), COLUMN())), -1, 0) = "",  IFERROR(INDEX(Prévision!$C:$C, MATCH(K$1, Prévision!$B:$B, 0) + ROWS($1:8)), "") = 0), "", IFERROR(INDEX(Prévision!$C:$C, MATCH(K$1, Prévision!$B:$B, 0) + ROWS($1:8)), ""))</f>
        <v/>
      </c>
      <c r="L9" t="str" cm="1">
        <f t="array" aca="1" ref="L9" ca="1">IF(OR(OFFSET(INDIRECT(ADDRESS(ROW(), COLUMN())), -1, 0) = "",  IFERROR(INDEX(Prévision!$C:$C, MATCH(L$1, Prévision!$B:$B, 0) + ROWS($1:8)), "") = 0), "", IFERROR(INDEX(Prévision!$C:$C, MATCH(L$1, Prévision!$B:$B, 0) + ROWS($1:8)), ""))</f>
        <v/>
      </c>
      <c r="M9" t="str" cm="1">
        <f t="array" aca="1" ref="M9" ca="1">IF(OR(OFFSET(INDIRECT(ADDRESS(ROW(), COLUMN())), -1, 0) = "",  IFERROR(INDEX(Prévision!$C:$C, MATCH(M$1, Prévision!$B:$B, 0) + ROWS($1:8)), "") = 0), "", IFERROR(INDEX(Prévision!$C:$C, MATCH(M$1, Prévision!$B:$B, 0) + ROWS($1:8)), ""))</f>
        <v/>
      </c>
      <c r="N9" t="str" cm="1">
        <f t="array" aca="1" ref="N9" ca="1">IF(OR(OFFSET(INDIRECT(ADDRESS(ROW(), COLUMN())), -1, 0) = "",  IFERROR(INDEX(Prévision!$C:$C, MATCH(N$1, Prévision!$B:$B, 0) + ROWS($1:8)), "") = 0), "", IFERROR(INDEX(Prévision!$C:$C, MATCH(N$1, Prévision!$B:$B, 0) + ROWS($1:8)), ""))</f>
        <v/>
      </c>
      <c r="O9" t="str" cm="1">
        <f t="array" aca="1" ref="O9" ca="1">IF(OR(OFFSET(INDIRECT(ADDRESS(ROW(), COLUMN())), -1, 0) = "",  IFERROR(INDEX(Prévision!$C:$C, MATCH(O$1, Prévision!$B:$B, 0) + ROWS($1:8)), "") = 0), "", IFERROR(INDEX(Prévision!$C:$C, MATCH(O$1, Prévision!$B:$B, 0) + ROWS($1:8)), ""))</f>
        <v/>
      </c>
      <c r="P9" t="str" cm="1">
        <f t="array" aca="1" ref="P9" ca="1">IF(OR(OFFSET(INDIRECT(ADDRESS(ROW(), COLUMN())), -1, 0) = "",  IFERROR(INDEX(Prévision!$C:$C, MATCH(P$1, Prévision!$B:$B, 0) + ROWS($1:8)), "") = 0), "", IFERROR(INDEX(Prévision!$C:$C, MATCH(P$1, Prévision!$B:$B, 0) + ROWS($1:8)), ""))</f>
        <v/>
      </c>
      <c r="Q9" t="str" cm="1">
        <f t="array" aca="1" ref="Q9" ca="1">IF(OR(OFFSET(INDIRECT(ADDRESS(ROW(), COLUMN())), -1, 0) = "",  IFERROR(INDEX(Prévision!$C:$C, MATCH(Q$1, Prévision!$B:$B, 0) + ROWS($1:8)), "") = 0), "", IFERROR(INDEX(Prévision!$C:$C, MATCH(Q$1, Prévision!$B:$B, 0) + ROWS($1:8)), ""))</f>
        <v/>
      </c>
      <c r="R9" t="str" cm="1">
        <f t="array" aca="1" ref="R9" ca="1">IF(OR(OFFSET(INDIRECT(ADDRESS(ROW(), COLUMN())), -1, 0) = "",  IFERROR(INDEX(Prévision!$C:$C, MATCH(R$1, Prévision!$B:$B, 0) + ROWS($1:8)), "") = 0), "", IFERROR(INDEX(Prévision!$C:$C, MATCH(R$1, Prévision!$B:$B, 0) + ROWS($1:8)), ""))</f>
        <v/>
      </c>
      <c r="S9" t="str" cm="1">
        <f t="array" aca="1" ref="S9" ca="1">IF(OR(OFFSET(INDIRECT(ADDRESS(ROW(), COLUMN())), -1, 0) = "",  IFERROR(INDEX(Prévision!$C:$C, MATCH(S$1, Prévision!$B:$B, 0) + ROWS($1:8)), "") = 0), "", IFERROR(INDEX(Prévision!$C:$C, MATCH(S$1, Prévision!$B:$B, 0) + ROWS($1:8)), ""))</f>
        <v/>
      </c>
      <c r="T9" t="str" cm="1">
        <f t="array" aca="1" ref="T9" ca="1">IF(OR(OFFSET(INDIRECT(ADDRESS(ROW(), COLUMN())), -1, 0) = "",  IFERROR(INDEX(Prévision!$C:$C, MATCH(T$1, Prévision!$B:$B, 0) + ROWS($1:8)), "") = 0), "", IFERROR(INDEX(Prévision!$C:$C, MATCH(T$1, Prévision!$B:$B, 0) + ROWS($1:8)), ""))</f>
        <v/>
      </c>
      <c r="U9" t="str" cm="1">
        <f t="array" aca="1" ref="U9" ca="1">IF(OR(OFFSET(INDIRECT(ADDRESS(ROW(), COLUMN())), -1, 0) = "",  IFERROR(INDEX(Prévision!$C:$C, MATCH(U$1, Prévision!$B:$B, 0) + ROWS($1:8)), "") = 0), "", IFERROR(INDEX(Prévision!$C:$C, MATCH(U$1, Prévision!$B:$B, 0) + ROWS($1:8)), ""))</f>
        <v/>
      </c>
      <c r="V9" t="str" cm="1">
        <f t="array" aca="1" ref="V9" ca="1">IF(OR(OFFSET(INDIRECT(ADDRESS(ROW(), COLUMN())), -1, 0) = "",  IFERROR(INDEX(Prévision!$C:$C, MATCH(V$1, Prévision!$B:$B, 0) + ROWS($1:8)), "") = 0), "", IFERROR(INDEX(Prévision!$C:$C, MATCH(V$1, Prévision!$B:$B, 0) + ROWS($1:8)), ""))</f>
        <v/>
      </c>
      <c r="W9" t="str" cm="1">
        <f t="array" aca="1" ref="W9" ca="1">IF(OR(OFFSET(INDIRECT(ADDRESS(ROW(), COLUMN())), -1, 0) = "",  IFERROR(INDEX(Prévision!$C:$C, MATCH(W$1, Prévision!$B:$B, 0) + ROWS($1:8)), "") = 0), "", IFERROR(INDEX(Prévision!$C:$C, MATCH(W$1, Prévision!$B:$B, 0) + ROWS($1:8)), ""))</f>
        <v/>
      </c>
      <c r="X9" t="str" cm="1">
        <f t="array" aca="1" ref="X9" ca="1">IF(OR(OFFSET(INDIRECT(ADDRESS(ROW(), COLUMN())), -1, 0) = "",  IFERROR(INDEX(Prévision!$C:$C, MATCH(X$1, Prévision!$B:$B, 0) + ROWS($1:8)), "") = 0), "", IFERROR(INDEX(Prévision!$C:$C, MATCH(X$1, Prévision!$B:$B, 0) + ROWS($1:8)), ""))</f>
        <v/>
      </c>
      <c r="Y9" t="str" cm="1">
        <f t="array" aca="1" ref="Y9" ca="1">IF(OR(OFFSET(INDIRECT(ADDRESS(ROW(), COLUMN())), -1, 0) = "",  IFERROR(INDEX(Prévision!$C:$C, MATCH(Y$1, Prévision!$B:$B, 0) + ROWS($1:8)), "") = 0), "", IFERROR(INDEX(Prévision!$C:$C, MATCH(Y$1, Prévision!$B:$B, 0) + ROWS($1:8)), ""))</f>
        <v/>
      </c>
      <c r="Z9" t="str" cm="1">
        <f t="array" aca="1" ref="Z9" ca="1">IF(OR(OFFSET(INDIRECT(ADDRESS(ROW(), COLUMN())), -1, 0) = "",  IFERROR(INDEX(Prévision!$C:$C, MATCH(Z$1, Prévision!$B:$B, 0) + ROWS($1:8)), "") = 0), "", IFERROR(INDEX(Prévision!$C:$C, MATCH(Z$1, Prévision!$B:$B, 0) + ROWS($1:8)), ""))</f>
        <v/>
      </c>
    </row>
    <row r="10" spans="1:26" x14ac:dyDescent="0.35">
      <c r="A10" t="str" cm="1">
        <f t="array" ref="A10">IFERROR(INDEX(Prévision!B:B, SMALL(IF(Prévision!B:B&lt;&gt;"", ROW(Prévision!B:B)), ROW(9:9))), "")</f>
        <v>Comité exécutif</v>
      </c>
      <c r="C10" t="str" cm="1">
        <f t="array" aca="1" ref="C10" ca="1">IF(OR(OFFSET(INDIRECT(ADDRESS(ROW(), COLUMN())), -1, 0) = "",  IFERROR(INDEX(Prévision!$C:$C, MATCH(C$1, Prévision!$B:$B, 0) + ROWS($1:9)), "") = 0), "", IFERROR(INDEX(Prévision!$C:$C, MATCH(C$1, Prévision!$B:$B, 0) + ROWS($1:9)), ""))</f>
        <v/>
      </c>
      <c r="D10" t="str" cm="1">
        <f t="array" aca="1" ref="D10" ca="1">IF(OR(OFFSET(INDIRECT(ADDRESS(ROW(), COLUMN())), -1, 0) = "",  IFERROR(INDEX(Prévision!$C:$C, MATCH(D$1, Prévision!$B:$B, 0) + ROWS($1:9)), "") = 0), "", IFERROR(INDEX(Prévision!$C:$C, MATCH(D$1, Prévision!$B:$B, 0) + ROWS($1:9)), ""))</f>
        <v/>
      </c>
      <c r="E10" t="str" cm="1">
        <f t="array" aca="1" ref="E10" ca="1">IF(OR(OFFSET(INDIRECT(ADDRESS(ROW(), COLUMN())), -1, 0) = "",  IFERROR(INDEX(Prévision!$C:$C, MATCH(E$1, Prévision!$B:$B, 0) + ROWS($1:9)), "") = 0), "", IFERROR(INDEX(Prévision!$C:$C, MATCH(E$1, Prévision!$B:$B, 0) + ROWS($1:9)), ""))</f>
        <v/>
      </c>
      <c r="F10" t="str" cm="1">
        <f t="array" aca="1" ref="F10" ca="1">IF(OR(OFFSET(INDIRECT(ADDRESS(ROW(), COLUMN())), -1, 0) = "",  IFERROR(INDEX(Prévision!$C:$C, MATCH(F$1, Prévision!$B:$B, 0) + ROWS($1:9)), "") = 0), "", IFERROR(INDEX(Prévision!$C:$C, MATCH(F$1, Prévision!$B:$B, 0) + ROWS($1:9)), ""))</f>
        <v/>
      </c>
      <c r="G10" t="str" cm="1">
        <f t="array" aca="1" ref="G10" ca="1">IF(OR(OFFSET(INDIRECT(ADDRESS(ROW(), COLUMN())), -1, 0) = "",  IFERROR(INDEX(Prévision!$C:$C, MATCH(G$1, Prévision!$B:$B, 0) + ROWS($1:9)), "") = 0), "", IFERROR(INDEX(Prévision!$C:$C, MATCH(G$1, Prévision!$B:$B, 0) + ROWS($1:9)), ""))</f>
        <v/>
      </c>
      <c r="H10" t="str" cm="1">
        <f t="array" aca="1" ref="H10" ca="1">IF(OR(OFFSET(INDIRECT(ADDRESS(ROW(), COLUMN())), -1, 0) = "",  IFERROR(INDEX(Prévision!$C:$C, MATCH(H$1, Prévision!$B:$B, 0) + ROWS($1:9)), "") = 0), "", IFERROR(INDEX(Prévision!$C:$C, MATCH(H$1, Prévision!$B:$B, 0) + ROWS($1:9)), ""))</f>
        <v/>
      </c>
      <c r="I10" t="str" cm="1">
        <f t="array" aca="1" ref="I10" ca="1">IF(OR(OFFSET(INDIRECT(ADDRESS(ROW(), COLUMN())), -1, 0) = "",  IFERROR(INDEX(Prévision!$C:$C, MATCH(I$1, Prévision!$B:$B, 0) + ROWS($1:9)), "") = 0), "", IFERROR(INDEX(Prévision!$C:$C, MATCH(I$1, Prévision!$B:$B, 0) + ROWS($1:9)), ""))</f>
        <v/>
      </c>
      <c r="J10" t="str" cm="1">
        <f t="array" aca="1" ref="J10" ca="1">IF(OR(OFFSET(INDIRECT(ADDRESS(ROW(), COLUMN())), -1, 0) = "",  IFERROR(INDEX(Prévision!$C:$C, MATCH(J$1, Prévision!$B:$B, 0) + ROWS($1:9)), "") = 0), "", IFERROR(INDEX(Prévision!$C:$C, MATCH(J$1, Prévision!$B:$B, 0) + ROWS($1:9)), ""))</f>
        <v/>
      </c>
      <c r="K10" t="str" cm="1">
        <f t="array" aca="1" ref="K10" ca="1">IF(OR(OFFSET(INDIRECT(ADDRESS(ROW(), COLUMN())), -1, 0) = "",  IFERROR(INDEX(Prévision!$C:$C, MATCH(K$1, Prévision!$B:$B, 0) + ROWS($1:9)), "") = 0), "", IFERROR(INDEX(Prévision!$C:$C, MATCH(K$1, Prévision!$B:$B, 0) + ROWS($1:9)), ""))</f>
        <v/>
      </c>
      <c r="L10" t="str" cm="1">
        <f t="array" aca="1" ref="L10" ca="1">IF(OR(OFFSET(INDIRECT(ADDRESS(ROW(), COLUMN())), -1, 0) = "",  IFERROR(INDEX(Prévision!$C:$C, MATCH(L$1, Prévision!$B:$B, 0) + ROWS($1:9)), "") = 0), "", IFERROR(INDEX(Prévision!$C:$C, MATCH(L$1, Prévision!$B:$B, 0) + ROWS($1:9)), ""))</f>
        <v/>
      </c>
      <c r="M10" t="str" cm="1">
        <f t="array" aca="1" ref="M10" ca="1">IF(OR(OFFSET(INDIRECT(ADDRESS(ROW(), COLUMN())), -1, 0) = "",  IFERROR(INDEX(Prévision!$C:$C, MATCH(M$1, Prévision!$B:$B, 0) + ROWS($1:9)), "") = 0), "", IFERROR(INDEX(Prévision!$C:$C, MATCH(M$1, Prévision!$B:$B, 0) + ROWS($1:9)), ""))</f>
        <v/>
      </c>
      <c r="N10" t="str" cm="1">
        <f t="array" aca="1" ref="N10" ca="1">IF(OR(OFFSET(INDIRECT(ADDRESS(ROW(), COLUMN())), -1, 0) = "",  IFERROR(INDEX(Prévision!$C:$C, MATCH(N$1, Prévision!$B:$B, 0) + ROWS($1:9)), "") = 0), "", IFERROR(INDEX(Prévision!$C:$C, MATCH(N$1, Prévision!$B:$B, 0) + ROWS($1:9)), ""))</f>
        <v/>
      </c>
      <c r="O10" t="str" cm="1">
        <f t="array" aca="1" ref="O10" ca="1">IF(OR(OFFSET(INDIRECT(ADDRESS(ROW(), COLUMN())), -1, 0) = "",  IFERROR(INDEX(Prévision!$C:$C, MATCH(O$1, Prévision!$B:$B, 0) + ROWS($1:9)), "") = 0), "", IFERROR(INDEX(Prévision!$C:$C, MATCH(O$1, Prévision!$B:$B, 0) + ROWS($1:9)), ""))</f>
        <v/>
      </c>
      <c r="P10" t="str" cm="1">
        <f t="array" aca="1" ref="P10" ca="1">IF(OR(OFFSET(INDIRECT(ADDRESS(ROW(), COLUMN())), -1, 0) = "",  IFERROR(INDEX(Prévision!$C:$C, MATCH(P$1, Prévision!$B:$B, 0) + ROWS($1:9)), "") = 0), "", IFERROR(INDEX(Prévision!$C:$C, MATCH(P$1, Prévision!$B:$B, 0) + ROWS($1:9)), ""))</f>
        <v/>
      </c>
      <c r="Q10" t="str" cm="1">
        <f t="array" aca="1" ref="Q10" ca="1">IF(OR(OFFSET(INDIRECT(ADDRESS(ROW(), COLUMN())), -1, 0) = "",  IFERROR(INDEX(Prévision!$C:$C, MATCH(Q$1, Prévision!$B:$B, 0) + ROWS($1:9)), "") = 0), "", IFERROR(INDEX(Prévision!$C:$C, MATCH(Q$1, Prévision!$B:$B, 0) + ROWS($1:9)), ""))</f>
        <v/>
      </c>
      <c r="R10" t="str" cm="1">
        <f t="array" aca="1" ref="R10" ca="1">IF(OR(OFFSET(INDIRECT(ADDRESS(ROW(), COLUMN())), -1, 0) = "",  IFERROR(INDEX(Prévision!$C:$C, MATCH(R$1, Prévision!$B:$B, 0) + ROWS($1:9)), "") = 0), "", IFERROR(INDEX(Prévision!$C:$C, MATCH(R$1, Prévision!$B:$B, 0) + ROWS($1:9)), ""))</f>
        <v/>
      </c>
      <c r="S10" t="str" cm="1">
        <f t="array" aca="1" ref="S10" ca="1">IF(OR(OFFSET(INDIRECT(ADDRESS(ROW(), COLUMN())), -1, 0) = "",  IFERROR(INDEX(Prévision!$C:$C, MATCH(S$1, Prévision!$B:$B, 0) + ROWS($1:9)), "") = 0), "", IFERROR(INDEX(Prévision!$C:$C, MATCH(S$1, Prévision!$B:$B, 0) + ROWS($1:9)), ""))</f>
        <v/>
      </c>
      <c r="T10" t="str" cm="1">
        <f t="array" aca="1" ref="T10" ca="1">IF(OR(OFFSET(INDIRECT(ADDRESS(ROW(), COLUMN())), -1, 0) = "",  IFERROR(INDEX(Prévision!$C:$C, MATCH(T$1, Prévision!$B:$B, 0) + ROWS($1:9)), "") = 0), "", IFERROR(INDEX(Prévision!$C:$C, MATCH(T$1, Prévision!$B:$B, 0) + ROWS($1:9)), ""))</f>
        <v/>
      </c>
      <c r="U10" t="str" cm="1">
        <f t="array" aca="1" ref="U10" ca="1">IF(OR(OFFSET(INDIRECT(ADDRESS(ROW(), COLUMN())), -1, 0) = "",  IFERROR(INDEX(Prévision!$C:$C, MATCH(U$1, Prévision!$B:$B, 0) + ROWS($1:9)), "") = 0), "", IFERROR(INDEX(Prévision!$C:$C, MATCH(U$1, Prévision!$B:$B, 0) + ROWS($1:9)), ""))</f>
        <v/>
      </c>
      <c r="V10" t="str" cm="1">
        <f t="array" aca="1" ref="V10" ca="1">IF(OR(OFFSET(INDIRECT(ADDRESS(ROW(), COLUMN())), -1, 0) = "",  IFERROR(INDEX(Prévision!$C:$C, MATCH(V$1, Prévision!$B:$B, 0) + ROWS($1:9)), "") = 0), "", IFERROR(INDEX(Prévision!$C:$C, MATCH(V$1, Prévision!$B:$B, 0) + ROWS($1:9)), ""))</f>
        <v/>
      </c>
      <c r="W10" t="str" cm="1">
        <f t="array" aca="1" ref="W10" ca="1">IF(OR(OFFSET(INDIRECT(ADDRESS(ROW(), COLUMN())), -1, 0) = "",  IFERROR(INDEX(Prévision!$C:$C, MATCH(W$1, Prévision!$B:$B, 0) + ROWS($1:9)), "") = 0), "", IFERROR(INDEX(Prévision!$C:$C, MATCH(W$1, Prévision!$B:$B, 0) + ROWS($1:9)), ""))</f>
        <v/>
      </c>
      <c r="X10" t="str" cm="1">
        <f t="array" aca="1" ref="X10" ca="1">IF(OR(OFFSET(INDIRECT(ADDRESS(ROW(), COLUMN())), -1, 0) = "",  IFERROR(INDEX(Prévision!$C:$C, MATCH(X$1, Prévision!$B:$B, 0) + ROWS($1:9)), "") = 0), "", IFERROR(INDEX(Prévision!$C:$C, MATCH(X$1, Prévision!$B:$B, 0) + ROWS($1:9)), ""))</f>
        <v/>
      </c>
      <c r="Y10" t="str" cm="1">
        <f t="array" aca="1" ref="Y10" ca="1">IF(OR(OFFSET(INDIRECT(ADDRESS(ROW(), COLUMN())), -1, 0) = "",  IFERROR(INDEX(Prévision!$C:$C, MATCH(Y$1, Prévision!$B:$B, 0) + ROWS($1:9)), "") = 0), "", IFERROR(INDEX(Prévision!$C:$C, MATCH(Y$1, Prévision!$B:$B, 0) + ROWS($1:9)), ""))</f>
        <v/>
      </c>
      <c r="Z10" t="str" cm="1">
        <f t="array" aca="1" ref="Z10" ca="1">IF(OR(OFFSET(INDIRECT(ADDRESS(ROW(), COLUMN())), -1, 0) = "",  IFERROR(INDEX(Prévision!$C:$C, MATCH(Z$1, Prévision!$B:$B, 0) + ROWS($1:9)), "") = 0), "", IFERROR(INDEX(Prévision!$C:$C, MATCH(Z$1, Prévision!$B:$B, 0) + ROWS($1:9)), ""))</f>
        <v/>
      </c>
    </row>
    <row r="11" spans="1:26" x14ac:dyDescent="0.35">
      <c r="A11" t="str" cm="1">
        <f t="array" ref="A11">IFERROR(INDEX(Prévision!B:B, SMALL(IF(Prévision!B:B&lt;&gt;"", ROW(Prévision!B:B)), ROW(10:10))), "")</f>
        <v>Charges d'événements</v>
      </c>
      <c r="C11" t="str" cm="1">
        <f t="array" aca="1" ref="C11" ca="1">IF(OR(OFFSET(INDIRECT(ADDRESS(ROW(), COLUMN())), -1, 0) = "",  IFERROR(INDEX(Prévision!$C:$C, MATCH(C$1, Prévision!$B:$B, 0) + ROWS($1:10)), "") = 0), "", IFERROR(INDEX(Prévision!$C:$C, MATCH(C$1, Prévision!$B:$B, 0) + ROWS($1:10)), ""))</f>
        <v/>
      </c>
      <c r="D11" t="str" cm="1">
        <f t="array" aca="1" ref="D11" ca="1">IF(OR(OFFSET(INDIRECT(ADDRESS(ROW(), COLUMN())), -1, 0) = "",  IFERROR(INDEX(Prévision!$C:$C, MATCH(D$1, Prévision!$B:$B, 0) + ROWS($1:10)), "") = 0), "", IFERROR(INDEX(Prévision!$C:$C, MATCH(D$1, Prévision!$B:$B, 0) + ROWS($1:10)), ""))</f>
        <v/>
      </c>
      <c r="E11" t="str" cm="1">
        <f t="array" aca="1" ref="E11" ca="1">IF(OR(OFFSET(INDIRECT(ADDRESS(ROW(), COLUMN())), -1, 0) = "",  IFERROR(INDEX(Prévision!$C:$C, MATCH(E$1, Prévision!$B:$B, 0) + ROWS($1:10)), "") = 0), "", IFERROR(INDEX(Prévision!$C:$C, MATCH(E$1, Prévision!$B:$B, 0) + ROWS($1:10)), ""))</f>
        <v/>
      </c>
      <c r="F11" t="str" cm="1">
        <f t="array" aca="1" ref="F11" ca="1">IF(OR(OFFSET(INDIRECT(ADDRESS(ROW(), COLUMN())), -1, 0) = "",  IFERROR(INDEX(Prévision!$C:$C, MATCH(F$1, Prévision!$B:$B, 0) + ROWS($1:10)), "") = 0), "", IFERROR(INDEX(Prévision!$C:$C, MATCH(F$1, Prévision!$B:$B, 0) + ROWS($1:10)), ""))</f>
        <v/>
      </c>
      <c r="G11" t="str" cm="1">
        <f t="array" aca="1" ref="G11" ca="1">IF(OR(OFFSET(INDIRECT(ADDRESS(ROW(), COLUMN())), -1, 0) = "",  IFERROR(INDEX(Prévision!$C:$C, MATCH(G$1, Prévision!$B:$B, 0) + ROWS($1:10)), "") = 0), "", IFERROR(INDEX(Prévision!$C:$C, MATCH(G$1, Prévision!$B:$B, 0) + ROWS($1:10)), ""))</f>
        <v/>
      </c>
      <c r="H11" t="str" cm="1">
        <f t="array" aca="1" ref="H11" ca="1">IF(OR(OFFSET(INDIRECT(ADDRESS(ROW(), COLUMN())), -1, 0) = "",  IFERROR(INDEX(Prévision!$C:$C, MATCH(H$1, Prévision!$B:$B, 0) + ROWS($1:10)), "") = 0), "", IFERROR(INDEX(Prévision!$C:$C, MATCH(H$1, Prévision!$B:$B, 0) + ROWS($1:10)), ""))</f>
        <v/>
      </c>
      <c r="I11" t="str" cm="1">
        <f t="array" aca="1" ref="I11" ca="1">IF(OR(OFFSET(INDIRECT(ADDRESS(ROW(), COLUMN())), -1, 0) = "",  IFERROR(INDEX(Prévision!$C:$C, MATCH(I$1, Prévision!$B:$B, 0) + ROWS($1:10)), "") = 0), "", IFERROR(INDEX(Prévision!$C:$C, MATCH(I$1, Prévision!$B:$B, 0) + ROWS($1:10)), ""))</f>
        <v/>
      </c>
      <c r="J11" t="str" cm="1">
        <f t="array" aca="1" ref="J11" ca="1">IF(OR(OFFSET(INDIRECT(ADDRESS(ROW(), COLUMN())), -1, 0) = "",  IFERROR(INDEX(Prévision!$C:$C, MATCH(J$1, Prévision!$B:$B, 0) + ROWS($1:10)), "") = 0), "", IFERROR(INDEX(Prévision!$C:$C, MATCH(J$1, Prévision!$B:$B, 0) + ROWS($1:10)), ""))</f>
        <v/>
      </c>
      <c r="K11" t="str" cm="1">
        <f t="array" aca="1" ref="K11" ca="1">IF(OR(OFFSET(INDIRECT(ADDRESS(ROW(), COLUMN())), -1, 0) = "",  IFERROR(INDEX(Prévision!$C:$C, MATCH(K$1, Prévision!$B:$B, 0) + ROWS($1:10)), "") = 0), "", IFERROR(INDEX(Prévision!$C:$C, MATCH(K$1, Prévision!$B:$B, 0) + ROWS($1:10)), ""))</f>
        <v/>
      </c>
      <c r="L11" t="str" cm="1">
        <f t="array" aca="1" ref="L11" ca="1">IF(OR(OFFSET(INDIRECT(ADDRESS(ROW(), COLUMN())), -1, 0) = "",  IFERROR(INDEX(Prévision!$C:$C, MATCH(L$1, Prévision!$B:$B, 0) + ROWS($1:10)), "") = 0), "", IFERROR(INDEX(Prévision!$C:$C, MATCH(L$1, Prévision!$B:$B, 0) + ROWS($1:10)), ""))</f>
        <v/>
      </c>
      <c r="M11" t="str" cm="1">
        <f t="array" aca="1" ref="M11" ca="1">IF(OR(OFFSET(INDIRECT(ADDRESS(ROW(), COLUMN())), -1, 0) = "",  IFERROR(INDEX(Prévision!$C:$C, MATCH(M$1, Prévision!$B:$B, 0) + ROWS($1:10)), "") = 0), "", IFERROR(INDEX(Prévision!$C:$C, MATCH(M$1, Prévision!$B:$B, 0) + ROWS($1:10)), ""))</f>
        <v/>
      </c>
      <c r="N11" t="str" cm="1">
        <f t="array" aca="1" ref="N11" ca="1">IF(OR(OFFSET(INDIRECT(ADDRESS(ROW(), COLUMN())), -1, 0) = "",  IFERROR(INDEX(Prévision!$C:$C, MATCH(N$1, Prévision!$B:$B, 0) + ROWS($1:10)), "") = 0), "", IFERROR(INDEX(Prévision!$C:$C, MATCH(N$1, Prévision!$B:$B, 0) + ROWS($1:10)), ""))</f>
        <v/>
      </c>
      <c r="O11" t="str" cm="1">
        <f t="array" aca="1" ref="O11" ca="1">IF(OR(OFFSET(INDIRECT(ADDRESS(ROW(), COLUMN())), -1, 0) = "",  IFERROR(INDEX(Prévision!$C:$C, MATCH(O$1, Prévision!$B:$B, 0) + ROWS($1:10)), "") = 0), "", IFERROR(INDEX(Prévision!$C:$C, MATCH(O$1, Prévision!$B:$B, 0) + ROWS($1:10)), ""))</f>
        <v/>
      </c>
      <c r="P11" t="str" cm="1">
        <f t="array" aca="1" ref="P11" ca="1">IF(OR(OFFSET(INDIRECT(ADDRESS(ROW(), COLUMN())), -1, 0) = "",  IFERROR(INDEX(Prévision!$C:$C, MATCH(P$1, Prévision!$B:$B, 0) + ROWS($1:10)), "") = 0), "", IFERROR(INDEX(Prévision!$C:$C, MATCH(P$1, Prévision!$B:$B, 0) + ROWS($1:10)), ""))</f>
        <v/>
      </c>
      <c r="Q11" t="str" cm="1">
        <f t="array" aca="1" ref="Q11" ca="1">IF(OR(OFFSET(INDIRECT(ADDRESS(ROW(), COLUMN())), -1, 0) = "",  IFERROR(INDEX(Prévision!$C:$C, MATCH(Q$1, Prévision!$B:$B, 0) + ROWS($1:10)), "") = 0), "", IFERROR(INDEX(Prévision!$C:$C, MATCH(Q$1, Prévision!$B:$B, 0) + ROWS($1:10)), ""))</f>
        <v/>
      </c>
      <c r="R11" t="str" cm="1">
        <f t="array" aca="1" ref="R11" ca="1">IF(OR(OFFSET(INDIRECT(ADDRESS(ROW(), COLUMN())), -1, 0) = "",  IFERROR(INDEX(Prévision!$C:$C, MATCH(R$1, Prévision!$B:$B, 0) + ROWS($1:10)), "") = 0), "", IFERROR(INDEX(Prévision!$C:$C, MATCH(R$1, Prévision!$B:$B, 0) + ROWS($1:10)), ""))</f>
        <v/>
      </c>
      <c r="S11" t="str" cm="1">
        <f t="array" aca="1" ref="S11" ca="1">IF(OR(OFFSET(INDIRECT(ADDRESS(ROW(), COLUMN())), -1, 0) = "",  IFERROR(INDEX(Prévision!$C:$C, MATCH(S$1, Prévision!$B:$B, 0) + ROWS($1:10)), "") = 0), "", IFERROR(INDEX(Prévision!$C:$C, MATCH(S$1, Prévision!$B:$B, 0) + ROWS($1:10)), ""))</f>
        <v/>
      </c>
      <c r="T11" t="str" cm="1">
        <f t="array" aca="1" ref="T11" ca="1">IF(OR(OFFSET(INDIRECT(ADDRESS(ROW(), COLUMN())), -1, 0) = "",  IFERROR(INDEX(Prévision!$C:$C, MATCH(T$1, Prévision!$B:$B, 0) + ROWS($1:10)), "") = 0), "", IFERROR(INDEX(Prévision!$C:$C, MATCH(T$1, Prévision!$B:$B, 0) + ROWS($1:10)), ""))</f>
        <v/>
      </c>
      <c r="U11" t="str" cm="1">
        <f t="array" aca="1" ref="U11" ca="1">IF(OR(OFFSET(INDIRECT(ADDRESS(ROW(), COLUMN())), -1, 0) = "",  IFERROR(INDEX(Prévision!$C:$C, MATCH(U$1, Prévision!$B:$B, 0) + ROWS($1:10)), "") = 0), "", IFERROR(INDEX(Prévision!$C:$C, MATCH(U$1, Prévision!$B:$B, 0) + ROWS($1:10)), ""))</f>
        <v/>
      </c>
      <c r="V11" t="str" cm="1">
        <f t="array" aca="1" ref="V11" ca="1">IF(OR(OFFSET(INDIRECT(ADDRESS(ROW(), COLUMN())), -1, 0) = "",  IFERROR(INDEX(Prévision!$C:$C, MATCH(V$1, Prévision!$B:$B, 0) + ROWS($1:10)), "") = 0), "", IFERROR(INDEX(Prévision!$C:$C, MATCH(V$1, Prévision!$B:$B, 0) + ROWS($1:10)), ""))</f>
        <v/>
      </c>
      <c r="W11" t="str" cm="1">
        <f t="array" aca="1" ref="W11" ca="1">IF(OR(OFFSET(INDIRECT(ADDRESS(ROW(), COLUMN())), -1, 0) = "",  IFERROR(INDEX(Prévision!$C:$C, MATCH(W$1, Prévision!$B:$B, 0) + ROWS($1:10)), "") = 0), "", IFERROR(INDEX(Prévision!$C:$C, MATCH(W$1, Prévision!$B:$B, 0) + ROWS($1:10)), ""))</f>
        <v/>
      </c>
      <c r="X11" t="str" cm="1">
        <f t="array" aca="1" ref="X11" ca="1">IF(OR(OFFSET(INDIRECT(ADDRESS(ROW(), COLUMN())), -1, 0) = "",  IFERROR(INDEX(Prévision!$C:$C, MATCH(X$1, Prévision!$B:$B, 0) + ROWS($1:10)), "") = 0), "", IFERROR(INDEX(Prévision!$C:$C, MATCH(X$1, Prévision!$B:$B, 0) + ROWS($1:10)), ""))</f>
        <v/>
      </c>
      <c r="Y11" t="str" cm="1">
        <f t="array" aca="1" ref="Y11" ca="1">IF(OR(OFFSET(INDIRECT(ADDRESS(ROW(), COLUMN())), -1, 0) = "",  IFERROR(INDEX(Prévision!$C:$C, MATCH(Y$1, Prévision!$B:$B, 0) + ROWS($1:10)), "") = 0), "", IFERROR(INDEX(Prévision!$C:$C, MATCH(Y$1, Prévision!$B:$B, 0) + ROWS($1:10)), ""))</f>
        <v/>
      </c>
      <c r="Z11" t="str" cm="1">
        <f t="array" aca="1" ref="Z11" ca="1">IF(OR(OFFSET(INDIRECT(ADDRESS(ROW(), COLUMN())), -1, 0) = "",  IFERROR(INDEX(Prévision!$C:$C, MATCH(Z$1, Prévision!$B:$B, 0) + ROWS($1:10)), "") = 0), "", IFERROR(INDEX(Prévision!$C:$C, MATCH(Z$1, Prévision!$B:$B, 0) + ROWS($1:10)), ""))</f>
        <v/>
      </c>
    </row>
    <row r="12" spans="1:26" x14ac:dyDescent="0.35">
      <c r="A12" t="str" cm="1">
        <f t="array" ref="A12">IFERROR(INDEX(Prévision!B:B, SMALL(IF(Prévision!B:B&lt;&gt;"", ROW(Prévision!B:B)), ROW(11:11))), "")</f>
        <v>Frais bancaires</v>
      </c>
      <c r="C12" t="str" cm="1">
        <f t="array" aca="1" ref="C12" ca="1">IF(OR(OFFSET(INDIRECT(ADDRESS(ROW(), COLUMN())), -1, 0) = "",  IFERROR(INDEX(Prévision!$C:$C, MATCH(C$1, Prévision!$B:$B, 0) + ROWS($1:11)), "") = 0), "", IFERROR(INDEX(Prévision!$C:$C, MATCH(C$1, Prévision!$B:$B, 0) + ROWS($1:11)), ""))</f>
        <v/>
      </c>
      <c r="D12" t="str" cm="1">
        <f t="array" aca="1" ref="D12" ca="1">IF(OR(OFFSET(INDIRECT(ADDRESS(ROW(), COLUMN())), -1, 0) = "",  IFERROR(INDEX(Prévision!$C:$C, MATCH(D$1, Prévision!$B:$B, 0) + ROWS($1:11)), "") = 0), "", IFERROR(INDEX(Prévision!$C:$C, MATCH(D$1, Prévision!$B:$B, 0) + ROWS($1:11)), ""))</f>
        <v/>
      </c>
      <c r="E12" t="str" cm="1">
        <f t="array" aca="1" ref="E12" ca="1">IF(OR(OFFSET(INDIRECT(ADDRESS(ROW(), COLUMN())), -1, 0) = "",  IFERROR(INDEX(Prévision!$C:$C, MATCH(E$1, Prévision!$B:$B, 0) + ROWS($1:11)), "") = 0), "", IFERROR(INDEX(Prévision!$C:$C, MATCH(E$1, Prévision!$B:$B, 0) + ROWS($1:11)), ""))</f>
        <v/>
      </c>
      <c r="F12" t="str" cm="1">
        <f t="array" aca="1" ref="F12" ca="1">IF(OR(OFFSET(INDIRECT(ADDRESS(ROW(), COLUMN())), -1, 0) = "",  IFERROR(INDEX(Prévision!$C:$C, MATCH(F$1, Prévision!$B:$B, 0) + ROWS($1:11)), "") = 0), "", IFERROR(INDEX(Prévision!$C:$C, MATCH(F$1, Prévision!$B:$B, 0) + ROWS($1:11)), ""))</f>
        <v/>
      </c>
      <c r="G12" t="str" cm="1">
        <f t="array" aca="1" ref="G12" ca="1">IF(OR(OFFSET(INDIRECT(ADDRESS(ROW(), COLUMN())), -1, 0) = "",  IFERROR(INDEX(Prévision!$C:$C, MATCH(G$1, Prévision!$B:$B, 0) + ROWS($1:11)), "") = 0), "", IFERROR(INDEX(Prévision!$C:$C, MATCH(G$1, Prévision!$B:$B, 0) + ROWS($1:11)), ""))</f>
        <v/>
      </c>
      <c r="H12" t="str" cm="1">
        <f t="array" aca="1" ref="H12" ca="1">IF(OR(OFFSET(INDIRECT(ADDRESS(ROW(), COLUMN())), -1, 0) = "",  IFERROR(INDEX(Prévision!$C:$C, MATCH(H$1, Prévision!$B:$B, 0) + ROWS($1:11)), "") = 0), "", IFERROR(INDEX(Prévision!$C:$C, MATCH(H$1, Prévision!$B:$B, 0) + ROWS($1:11)), ""))</f>
        <v/>
      </c>
      <c r="I12" t="str" cm="1">
        <f t="array" aca="1" ref="I12" ca="1">IF(OR(OFFSET(INDIRECT(ADDRESS(ROW(), COLUMN())), -1, 0) = "",  IFERROR(INDEX(Prévision!$C:$C, MATCH(I$1, Prévision!$B:$B, 0) + ROWS($1:11)), "") = 0), "", IFERROR(INDEX(Prévision!$C:$C, MATCH(I$1, Prévision!$B:$B, 0) + ROWS($1:11)), ""))</f>
        <v/>
      </c>
      <c r="J12" t="str" cm="1">
        <f t="array" aca="1" ref="J12" ca="1">IF(OR(OFFSET(INDIRECT(ADDRESS(ROW(), COLUMN())), -1, 0) = "",  IFERROR(INDEX(Prévision!$C:$C, MATCH(J$1, Prévision!$B:$B, 0) + ROWS($1:11)), "") = 0), "", IFERROR(INDEX(Prévision!$C:$C, MATCH(J$1, Prévision!$B:$B, 0) + ROWS($1:11)), ""))</f>
        <v/>
      </c>
      <c r="K12" t="str" cm="1">
        <f t="array" aca="1" ref="K12" ca="1">IF(OR(OFFSET(INDIRECT(ADDRESS(ROW(), COLUMN())), -1, 0) = "",  IFERROR(INDEX(Prévision!$C:$C, MATCH(K$1, Prévision!$B:$B, 0) + ROWS($1:11)), "") = 0), "", IFERROR(INDEX(Prévision!$C:$C, MATCH(K$1, Prévision!$B:$B, 0) + ROWS($1:11)), ""))</f>
        <v/>
      </c>
      <c r="L12" t="str" cm="1">
        <f t="array" aca="1" ref="L12" ca="1">IF(OR(OFFSET(INDIRECT(ADDRESS(ROW(), COLUMN())), -1, 0) = "",  IFERROR(INDEX(Prévision!$C:$C, MATCH(L$1, Prévision!$B:$B, 0) + ROWS($1:11)), "") = 0), "", IFERROR(INDEX(Prévision!$C:$C, MATCH(L$1, Prévision!$B:$B, 0) + ROWS($1:11)), ""))</f>
        <v/>
      </c>
      <c r="M12" t="str" cm="1">
        <f t="array" aca="1" ref="M12" ca="1">IF(OR(OFFSET(INDIRECT(ADDRESS(ROW(), COLUMN())), -1, 0) = "",  IFERROR(INDEX(Prévision!$C:$C, MATCH(M$1, Prévision!$B:$B, 0) + ROWS($1:11)), "") = 0), "", IFERROR(INDEX(Prévision!$C:$C, MATCH(M$1, Prévision!$B:$B, 0) + ROWS($1:11)), ""))</f>
        <v/>
      </c>
      <c r="N12" t="str" cm="1">
        <f t="array" aca="1" ref="N12" ca="1">IF(OR(OFFSET(INDIRECT(ADDRESS(ROW(), COLUMN())), -1, 0) = "",  IFERROR(INDEX(Prévision!$C:$C, MATCH(N$1, Prévision!$B:$B, 0) + ROWS($1:11)), "") = 0), "", IFERROR(INDEX(Prévision!$C:$C, MATCH(N$1, Prévision!$B:$B, 0) + ROWS($1:11)), ""))</f>
        <v/>
      </c>
      <c r="O12" t="str" cm="1">
        <f t="array" aca="1" ref="O12" ca="1">IF(OR(OFFSET(INDIRECT(ADDRESS(ROW(), COLUMN())), -1, 0) = "",  IFERROR(INDEX(Prévision!$C:$C, MATCH(O$1, Prévision!$B:$B, 0) + ROWS($1:11)), "") = 0), "", IFERROR(INDEX(Prévision!$C:$C, MATCH(O$1, Prévision!$B:$B, 0) + ROWS($1:11)), ""))</f>
        <v/>
      </c>
      <c r="P12" t="str" cm="1">
        <f t="array" aca="1" ref="P12" ca="1">IF(OR(OFFSET(INDIRECT(ADDRESS(ROW(), COLUMN())), -1, 0) = "",  IFERROR(INDEX(Prévision!$C:$C, MATCH(P$1, Prévision!$B:$B, 0) + ROWS($1:11)), "") = 0), "", IFERROR(INDEX(Prévision!$C:$C, MATCH(P$1, Prévision!$B:$B, 0) + ROWS($1:11)), ""))</f>
        <v/>
      </c>
      <c r="Q12" t="str" cm="1">
        <f t="array" aca="1" ref="Q12" ca="1">IF(OR(OFFSET(INDIRECT(ADDRESS(ROW(), COLUMN())), -1, 0) = "",  IFERROR(INDEX(Prévision!$C:$C, MATCH(Q$1, Prévision!$B:$B, 0) + ROWS($1:11)), "") = 0), "", IFERROR(INDEX(Prévision!$C:$C, MATCH(Q$1, Prévision!$B:$B, 0) + ROWS($1:11)), ""))</f>
        <v/>
      </c>
      <c r="R12" t="str" cm="1">
        <f t="array" aca="1" ref="R12" ca="1">IF(OR(OFFSET(INDIRECT(ADDRESS(ROW(), COLUMN())), -1, 0) = "",  IFERROR(INDEX(Prévision!$C:$C, MATCH(R$1, Prévision!$B:$B, 0) + ROWS($1:11)), "") = 0), "", IFERROR(INDEX(Prévision!$C:$C, MATCH(R$1, Prévision!$B:$B, 0) + ROWS($1:11)), ""))</f>
        <v/>
      </c>
      <c r="S12" t="str" cm="1">
        <f t="array" aca="1" ref="S12" ca="1">IF(OR(OFFSET(INDIRECT(ADDRESS(ROW(), COLUMN())), -1, 0) = "",  IFERROR(INDEX(Prévision!$C:$C, MATCH(S$1, Prévision!$B:$B, 0) + ROWS($1:11)), "") = 0), "", IFERROR(INDEX(Prévision!$C:$C, MATCH(S$1, Prévision!$B:$B, 0) + ROWS($1:11)), ""))</f>
        <v/>
      </c>
      <c r="T12" t="str" cm="1">
        <f t="array" aca="1" ref="T12" ca="1">IF(OR(OFFSET(INDIRECT(ADDRESS(ROW(), COLUMN())), -1, 0) = "",  IFERROR(INDEX(Prévision!$C:$C, MATCH(T$1, Prévision!$B:$B, 0) + ROWS($1:11)), "") = 0), "", IFERROR(INDEX(Prévision!$C:$C, MATCH(T$1, Prévision!$B:$B, 0) + ROWS($1:11)), ""))</f>
        <v/>
      </c>
      <c r="U12" t="str" cm="1">
        <f t="array" aca="1" ref="U12" ca="1">IF(OR(OFFSET(INDIRECT(ADDRESS(ROW(), COLUMN())), -1, 0) = "",  IFERROR(INDEX(Prévision!$C:$C, MATCH(U$1, Prévision!$B:$B, 0) + ROWS($1:11)), "") = 0), "", IFERROR(INDEX(Prévision!$C:$C, MATCH(U$1, Prévision!$B:$B, 0) + ROWS($1:11)), ""))</f>
        <v/>
      </c>
      <c r="V12" t="str" cm="1">
        <f t="array" aca="1" ref="V12" ca="1">IF(OR(OFFSET(INDIRECT(ADDRESS(ROW(), COLUMN())), -1, 0) = "",  IFERROR(INDEX(Prévision!$C:$C, MATCH(V$1, Prévision!$B:$B, 0) + ROWS($1:11)), "") = 0), "", IFERROR(INDEX(Prévision!$C:$C, MATCH(V$1, Prévision!$B:$B, 0) + ROWS($1:11)), ""))</f>
        <v/>
      </c>
      <c r="W12" t="str" cm="1">
        <f t="array" aca="1" ref="W12" ca="1">IF(OR(OFFSET(INDIRECT(ADDRESS(ROW(), COLUMN())), -1, 0) = "",  IFERROR(INDEX(Prévision!$C:$C, MATCH(W$1, Prévision!$B:$B, 0) + ROWS($1:11)), "") = 0), "", IFERROR(INDEX(Prévision!$C:$C, MATCH(W$1, Prévision!$B:$B, 0) + ROWS($1:11)), ""))</f>
        <v/>
      </c>
      <c r="X12" t="str" cm="1">
        <f t="array" aca="1" ref="X12" ca="1">IF(OR(OFFSET(INDIRECT(ADDRESS(ROW(), COLUMN())), -1, 0) = "",  IFERROR(INDEX(Prévision!$C:$C, MATCH(X$1, Prévision!$B:$B, 0) + ROWS($1:11)), "") = 0), "", IFERROR(INDEX(Prévision!$C:$C, MATCH(X$1, Prévision!$B:$B, 0) + ROWS($1:11)), ""))</f>
        <v/>
      </c>
      <c r="Y12" t="str" cm="1">
        <f t="array" aca="1" ref="Y12" ca="1">IF(OR(OFFSET(INDIRECT(ADDRESS(ROW(), COLUMN())), -1, 0) = "",  IFERROR(INDEX(Prévision!$C:$C, MATCH(Y$1, Prévision!$B:$B, 0) + ROWS($1:11)), "") = 0), "", IFERROR(INDEX(Prévision!$C:$C, MATCH(Y$1, Prévision!$B:$B, 0) + ROWS($1:11)), ""))</f>
        <v/>
      </c>
      <c r="Z12" t="str" cm="1">
        <f t="array" aca="1" ref="Z12" ca="1">IF(OR(OFFSET(INDIRECT(ADDRESS(ROW(), COLUMN())), -1, 0) = "",  IFERROR(INDEX(Prévision!$C:$C, MATCH(Z$1, Prévision!$B:$B, 0) + ROWS($1:11)), "") = 0), "", IFERROR(INDEX(Prévision!$C:$C, MATCH(Z$1, Prévision!$B:$B, 0) + ROWS($1:11)), ""))</f>
        <v/>
      </c>
    </row>
    <row r="13" spans="1:26" x14ac:dyDescent="0.35">
      <c r="A13" t="str" cm="1">
        <f t="array" ref="A13">IFERROR(INDEX(Prévision!B:B, SMALL(IF(Prévision!B:B&lt;&gt;"", ROW(Prévision!B:B)), ROW(12:12))), "")</f>
        <v>GégiSport</v>
      </c>
      <c r="C13" t="str" cm="1">
        <f t="array" aca="1" ref="C13" ca="1">IF(OR(OFFSET(INDIRECT(ADDRESS(ROW(), COLUMN())), -1, 0) = "",  IFERROR(INDEX(Prévision!$C:$C, MATCH(C$1, Prévision!$B:$B, 0) + ROWS($1:12)), "") = 0), "", IFERROR(INDEX(Prévision!$C:$C, MATCH(C$1, Prévision!$B:$B, 0) + ROWS($1:12)), ""))</f>
        <v/>
      </c>
      <c r="D13" t="str" cm="1">
        <f t="array" aca="1" ref="D13" ca="1">IF(OR(OFFSET(INDIRECT(ADDRESS(ROW(), COLUMN())), -1, 0) = "",  IFERROR(INDEX(Prévision!$C:$C, MATCH(D$1, Prévision!$B:$B, 0) + ROWS($1:12)), "") = 0), "", IFERROR(INDEX(Prévision!$C:$C, MATCH(D$1, Prévision!$B:$B, 0) + ROWS($1:12)), ""))</f>
        <v/>
      </c>
      <c r="E13" t="str" cm="1">
        <f t="array" aca="1" ref="E13" ca="1">IF(OR(OFFSET(INDIRECT(ADDRESS(ROW(), COLUMN())), -1, 0) = "",  IFERROR(INDEX(Prévision!$C:$C, MATCH(E$1, Prévision!$B:$B, 0) + ROWS($1:12)), "") = 0), "", IFERROR(INDEX(Prévision!$C:$C, MATCH(E$1, Prévision!$B:$B, 0) + ROWS($1:12)), ""))</f>
        <v/>
      </c>
      <c r="F13" t="str" cm="1">
        <f t="array" aca="1" ref="F13" ca="1">IF(OR(OFFSET(INDIRECT(ADDRESS(ROW(), COLUMN())), -1, 0) = "",  IFERROR(INDEX(Prévision!$C:$C, MATCH(F$1, Prévision!$B:$B, 0) + ROWS($1:12)), "") = 0), "", IFERROR(INDEX(Prévision!$C:$C, MATCH(F$1, Prévision!$B:$B, 0) + ROWS($1:12)), ""))</f>
        <v/>
      </c>
      <c r="G13" t="str" cm="1">
        <f t="array" aca="1" ref="G13" ca="1">IF(OR(OFFSET(INDIRECT(ADDRESS(ROW(), COLUMN())), -1, 0) = "",  IFERROR(INDEX(Prévision!$C:$C, MATCH(G$1, Prévision!$B:$B, 0) + ROWS($1:12)), "") = 0), "", IFERROR(INDEX(Prévision!$C:$C, MATCH(G$1, Prévision!$B:$B, 0) + ROWS($1:12)), ""))</f>
        <v/>
      </c>
      <c r="H13" t="str" cm="1">
        <f t="array" aca="1" ref="H13" ca="1">IF(OR(OFFSET(INDIRECT(ADDRESS(ROW(), COLUMN())), -1, 0) = "",  IFERROR(INDEX(Prévision!$C:$C, MATCH(H$1, Prévision!$B:$B, 0) + ROWS($1:12)), "") = 0), "", IFERROR(INDEX(Prévision!$C:$C, MATCH(H$1, Prévision!$B:$B, 0) + ROWS($1:12)), ""))</f>
        <v/>
      </c>
      <c r="I13" t="str" cm="1">
        <f t="array" aca="1" ref="I13" ca="1">IF(OR(OFFSET(INDIRECT(ADDRESS(ROW(), COLUMN())), -1, 0) = "",  IFERROR(INDEX(Prévision!$C:$C, MATCH(I$1, Prévision!$B:$B, 0) + ROWS($1:12)), "") = 0), "", IFERROR(INDEX(Prévision!$C:$C, MATCH(I$1, Prévision!$B:$B, 0) + ROWS($1:12)), ""))</f>
        <v/>
      </c>
      <c r="J13" t="str" cm="1">
        <f t="array" aca="1" ref="J13" ca="1">IF(OR(OFFSET(INDIRECT(ADDRESS(ROW(), COLUMN())), -1, 0) = "",  IFERROR(INDEX(Prévision!$C:$C, MATCH(J$1, Prévision!$B:$B, 0) + ROWS($1:12)), "") = 0), "", IFERROR(INDEX(Prévision!$C:$C, MATCH(J$1, Prévision!$B:$B, 0) + ROWS($1:12)), ""))</f>
        <v/>
      </c>
      <c r="K13" t="str" cm="1">
        <f t="array" aca="1" ref="K13" ca="1">IF(OR(OFFSET(INDIRECT(ADDRESS(ROW(), COLUMN())), -1, 0) = "",  IFERROR(INDEX(Prévision!$C:$C, MATCH(K$1, Prévision!$B:$B, 0) + ROWS($1:12)), "") = 0), "", IFERROR(INDEX(Prévision!$C:$C, MATCH(K$1, Prévision!$B:$B, 0) + ROWS($1:12)), ""))</f>
        <v/>
      </c>
      <c r="L13" t="str" cm="1">
        <f t="array" aca="1" ref="L13" ca="1">IF(OR(OFFSET(INDIRECT(ADDRESS(ROW(), COLUMN())), -1, 0) = "",  IFERROR(INDEX(Prévision!$C:$C, MATCH(L$1, Prévision!$B:$B, 0) + ROWS($1:12)), "") = 0), "", IFERROR(INDEX(Prévision!$C:$C, MATCH(L$1, Prévision!$B:$B, 0) + ROWS($1:12)), ""))</f>
        <v/>
      </c>
      <c r="M13" t="str" cm="1">
        <f t="array" aca="1" ref="M13" ca="1">IF(OR(OFFSET(INDIRECT(ADDRESS(ROW(), COLUMN())), -1, 0) = "",  IFERROR(INDEX(Prévision!$C:$C, MATCH(M$1, Prévision!$B:$B, 0) + ROWS($1:12)), "") = 0), "", IFERROR(INDEX(Prévision!$C:$C, MATCH(M$1, Prévision!$B:$B, 0) + ROWS($1:12)), ""))</f>
        <v/>
      </c>
      <c r="N13" t="str" cm="1">
        <f t="array" aca="1" ref="N13" ca="1">IF(OR(OFFSET(INDIRECT(ADDRESS(ROW(), COLUMN())), -1, 0) = "",  IFERROR(INDEX(Prévision!$C:$C, MATCH(N$1, Prévision!$B:$B, 0) + ROWS($1:12)), "") = 0), "", IFERROR(INDEX(Prévision!$C:$C, MATCH(N$1, Prévision!$B:$B, 0) + ROWS($1:12)), ""))</f>
        <v/>
      </c>
      <c r="O13" t="str" cm="1">
        <f t="array" aca="1" ref="O13" ca="1">IF(OR(OFFSET(INDIRECT(ADDRESS(ROW(), COLUMN())), -1, 0) = "",  IFERROR(INDEX(Prévision!$C:$C, MATCH(O$1, Prévision!$B:$B, 0) + ROWS($1:12)), "") = 0), "", IFERROR(INDEX(Prévision!$C:$C, MATCH(O$1, Prévision!$B:$B, 0) + ROWS($1:12)), ""))</f>
        <v/>
      </c>
      <c r="P13" t="str" cm="1">
        <f t="array" aca="1" ref="P13" ca="1">IF(OR(OFFSET(INDIRECT(ADDRESS(ROW(), COLUMN())), -1, 0) = "",  IFERROR(INDEX(Prévision!$C:$C, MATCH(P$1, Prévision!$B:$B, 0) + ROWS($1:12)), "") = 0), "", IFERROR(INDEX(Prévision!$C:$C, MATCH(P$1, Prévision!$B:$B, 0) + ROWS($1:12)), ""))</f>
        <v/>
      </c>
      <c r="Q13" t="str" cm="1">
        <f t="array" aca="1" ref="Q13" ca="1">IF(OR(OFFSET(INDIRECT(ADDRESS(ROW(), COLUMN())), -1, 0) = "",  IFERROR(INDEX(Prévision!$C:$C, MATCH(Q$1, Prévision!$B:$B, 0) + ROWS($1:12)), "") = 0), "", IFERROR(INDEX(Prévision!$C:$C, MATCH(Q$1, Prévision!$B:$B, 0) + ROWS($1:12)), ""))</f>
        <v/>
      </c>
      <c r="R13" t="str" cm="1">
        <f t="array" aca="1" ref="R13" ca="1">IF(OR(OFFSET(INDIRECT(ADDRESS(ROW(), COLUMN())), -1, 0) = "",  IFERROR(INDEX(Prévision!$C:$C, MATCH(R$1, Prévision!$B:$B, 0) + ROWS($1:12)), "") = 0), "", IFERROR(INDEX(Prévision!$C:$C, MATCH(R$1, Prévision!$B:$B, 0) + ROWS($1:12)), ""))</f>
        <v/>
      </c>
      <c r="S13" t="str" cm="1">
        <f t="array" aca="1" ref="S13" ca="1">IF(OR(OFFSET(INDIRECT(ADDRESS(ROW(), COLUMN())), -1, 0) = "",  IFERROR(INDEX(Prévision!$C:$C, MATCH(S$1, Prévision!$B:$B, 0) + ROWS($1:12)), "") = 0), "", IFERROR(INDEX(Prévision!$C:$C, MATCH(S$1, Prévision!$B:$B, 0) + ROWS($1:12)), ""))</f>
        <v/>
      </c>
      <c r="T13" t="str" cm="1">
        <f t="array" aca="1" ref="T13" ca="1">IF(OR(OFFSET(INDIRECT(ADDRESS(ROW(), COLUMN())), -1, 0) = "",  IFERROR(INDEX(Prévision!$C:$C, MATCH(T$1, Prévision!$B:$B, 0) + ROWS($1:12)), "") = 0), "", IFERROR(INDEX(Prévision!$C:$C, MATCH(T$1, Prévision!$B:$B, 0) + ROWS($1:12)), ""))</f>
        <v/>
      </c>
      <c r="U13" t="str" cm="1">
        <f t="array" aca="1" ref="U13" ca="1">IF(OR(OFFSET(INDIRECT(ADDRESS(ROW(), COLUMN())), -1, 0) = "",  IFERROR(INDEX(Prévision!$C:$C, MATCH(U$1, Prévision!$B:$B, 0) + ROWS($1:12)), "") = 0), "", IFERROR(INDEX(Prévision!$C:$C, MATCH(U$1, Prévision!$B:$B, 0) + ROWS($1:12)), ""))</f>
        <v/>
      </c>
      <c r="V13" t="str" cm="1">
        <f t="array" aca="1" ref="V13" ca="1">IF(OR(OFFSET(INDIRECT(ADDRESS(ROW(), COLUMN())), -1, 0) = "",  IFERROR(INDEX(Prévision!$C:$C, MATCH(V$1, Prévision!$B:$B, 0) + ROWS($1:12)), "") = 0), "", IFERROR(INDEX(Prévision!$C:$C, MATCH(V$1, Prévision!$B:$B, 0) + ROWS($1:12)), ""))</f>
        <v/>
      </c>
      <c r="W13" t="str" cm="1">
        <f t="array" aca="1" ref="W13" ca="1">IF(OR(OFFSET(INDIRECT(ADDRESS(ROW(), COLUMN())), -1, 0) = "",  IFERROR(INDEX(Prévision!$C:$C, MATCH(W$1, Prévision!$B:$B, 0) + ROWS($1:12)), "") = 0), "", IFERROR(INDEX(Prévision!$C:$C, MATCH(W$1, Prévision!$B:$B, 0) + ROWS($1:12)), ""))</f>
        <v/>
      </c>
      <c r="X13" t="str" cm="1">
        <f t="array" aca="1" ref="X13" ca="1">IF(OR(OFFSET(INDIRECT(ADDRESS(ROW(), COLUMN())), -1, 0) = "",  IFERROR(INDEX(Prévision!$C:$C, MATCH(X$1, Prévision!$B:$B, 0) + ROWS($1:12)), "") = 0), "", IFERROR(INDEX(Prévision!$C:$C, MATCH(X$1, Prévision!$B:$B, 0) + ROWS($1:12)), ""))</f>
        <v/>
      </c>
      <c r="Y13" t="str" cm="1">
        <f t="array" aca="1" ref="Y13" ca="1">IF(OR(OFFSET(INDIRECT(ADDRESS(ROW(), COLUMN())), -1, 0) = "",  IFERROR(INDEX(Prévision!$C:$C, MATCH(Y$1, Prévision!$B:$B, 0) + ROWS($1:12)), "") = 0), "", IFERROR(INDEX(Prévision!$C:$C, MATCH(Y$1, Prévision!$B:$B, 0) + ROWS($1:12)), ""))</f>
        <v/>
      </c>
      <c r="Z13" t="str" cm="1">
        <f t="array" aca="1" ref="Z13" ca="1">IF(OR(OFFSET(INDIRECT(ADDRESS(ROW(), COLUMN())), -1, 0) = "",  IFERROR(INDEX(Prévision!$C:$C, MATCH(Z$1, Prévision!$B:$B, 0) + ROWS($1:12)), "") = 0), "", IFERROR(INDEX(Prévision!$C:$C, MATCH(Z$1, Prévision!$B:$B, 0) + ROWS($1:12)), ""))</f>
        <v/>
      </c>
    </row>
    <row r="14" spans="1:26" x14ac:dyDescent="0.35">
      <c r="A14" t="str" cm="1">
        <f t="array" ref="A14">IFERROR(INDEX(Prévision!B:B, SMALL(IF(Prévision!B:B&lt;&gt;"", ROW(Prévision!B:B)), ROW(13:13))), "")</f>
        <v>IEEE Xtreme</v>
      </c>
      <c r="C14" t="str" cm="1">
        <f t="array" aca="1" ref="C14" ca="1">IF(OR(OFFSET(INDIRECT(ADDRESS(ROW(), COLUMN())), -1, 0) = "",  IFERROR(INDEX(Prévision!$C:$C, MATCH(C$1, Prévision!$B:$B, 0) + ROWS($1:13)), "") = 0), "", IFERROR(INDEX(Prévision!$C:$C, MATCH(C$1, Prévision!$B:$B, 0) + ROWS($1:13)), ""))</f>
        <v/>
      </c>
      <c r="D14" t="str" cm="1">
        <f t="array" aca="1" ref="D14" ca="1">IF(OR(OFFSET(INDIRECT(ADDRESS(ROW(), COLUMN())), -1, 0) = "",  IFERROR(INDEX(Prévision!$C:$C, MATCH(D$1, Prévision!$B:$B, 0) + ROWS($1:13)), "") = 0), "", IFERROR(INDEX(Prévision!$C:$C, MATCH(D$1, Prévision!$B:$B, 0) + ROWS($1:13)), ""))</f>
        <v/>
      </c>
      <c r="E14" t="str" cm="1">
        <f t="array" aca="1" ref="E14" ca="1">IF(OR(OFFSET(INDIRECT(ADDRESS(ROW(), COLUMN())), -1, 0) = "",  IFERROR(INDEX(Prévision!$C:$C, MATCH(E$1, Prévision!$B:$B, 0) + ROWS($1:13)), "") = 0), "", IFERROR(INDEX(Prévision!$C:$C, MATCH(E$1, Prévision!$B:$B, 0) + ROWS($1:13)), ""))</f>
        <v/>
      </c>
      <c r="F14" t="str" cm="1">
        <f t="array" aca="1" ref="F14" ca="1">IF(OR(OFFSET(INDIRECT(ADDRESS(ROW(), COLUMN())), -1, 0) = "",  IFERROR(INDEX(Prévision!$C:$C, MATCH(F$1, Prévision!$B:$B, 0) + ROWS($1:13)), "") = 0), "", IFERROR(INDEX(Prévision!$C:$C, MATCH(F$1, Prévision!$B:$B, 0) + ROWS($1:13)), ""))</f>
        <v/>
      </c>
      <c r="G14" t="str" cm="1">
        <f t="array" aca="1" ref="G14" ca="1">IF(OR(OFFSET(INDIRECT(ADDRESS(ROW(), COLUMN())), -1, 0) = "",  IFERROR(INDEX(Prévision!$C:$C, MATCH(G$1, Prévision!$B:$B, 0) + ROWS($1:13)), "") = 0), "", IFERROR(INDEX(Prévision!$C:$C, MATCH(G$1, Prévision!$B:$B, 0) + ROWS($1:13)), ""))</f>
        <v/>
      </c>
      <c r="H14" t="str" cm="1">
        <f t="array" aca="1" ref="H14" ca="1">IF(OR(OFFSET(INDIRECT(ADDRESS(ROW(), COLUMN())), -1, 0) = "",  IFERROR(INDEX(Prévision!$C:$C, MATCH(H$1, Prévision!$B:$B, 0) + ROWS($1:13)), "") = 0), "", IFERROR(INDEX(Prévision!$C:$C, MATCH(H$1, Prévision!$B:$B, 0) + ROWS($1:13)), ""))</f>
        <v/>
      </c>
      <c r="I14" t="str" cm="1">
        <f t="array" aca="1" ref="I14" ca="1">IF(OR(OFFSET(INDIRECT(ADDRESS(ROW(), COLUMN())), -1, 0) = "",  IFERROR(INDEX(Prévision!$C:$C, MATCH(I$1, Prévision!$B:$B, 0) + ROWS($1:13)), "") = 0), "", IFERROR(INDEX(Prévision!$C:$C, MATCH(I$1, Prévision!$B:$B, 0) + ROWS($1:13)), ""))</f>
        <v/>
      </c>
      <c r="J14" t="str" cm="1">
        <f t="array" aca="1" ref="J14" ca="1">IF(OR(OFFSET(INDIRECT(ADDRESS(ROW(), COLUMN())), -1, 0) = "",  IFERROR(INDEX(Prévision!$C:$C, MATCH(J$1, Prévision!$B:$B, 0) + ROWS($1:13)), "") = 0), "", IFERROR(INDEX(Prévision!$C:$C, MATCH(J$1, Prévision!$B:$B, 0) + ROWS($1:13)), ""))</f>
        <v/>
      </c>
      <c r="K14" t="str" cm="1">
        <f t="array" aca="1" ref="K14" ca="1">IF(OR(OFFSET(INDIRECT(ADDRESS(ROW(), COLUMN())), -1, 0) = "",  IFERROR(INDEX(Prévision!$C:$C, MATCH(K$1, Prévision!$B:$B, 0) + ROWS($1:13)), "") = 0), "", IFERROR(INDEX(Prévision!$C:$C, MATCH(K$1, Prévision!$B:$B, 0) + ROWS($1:13)), ""))</f>
        <v/>
      </c>
      <c r="L14" t="str" cm="1">
        <f t="array" aca="1" ref="L14" ca="1">IF(OR(OFFSET(INDIRECT(ADDRESS(ROW(), COLUMN())), -1, 0) = "",  IFERROR(INDEX(Prévision!$C:$C, MATCH(L$1, Prévision!$B:$B, 0) + ROWS($1:13)), "") = 0), "", IFERROR(INDEX(Prévision!$C:$C, MATCH(L$1, Prévision!$B:$B, 0) + ROWS($1:13)), ""))</f>
        <v/>
      </c>
      <c r="M14" t="str" cm="1">
        <f t="array" aca="1" ref="M14" ca="1">IF(OR(OFFSET(INDIRECT(ADDRESS(ROW(), COLUMN())), -1, 0) = "",  IFERROR(INDEX(Prévision!$C:$C, MATCH(M$1, Prévision!$B:$B, 0) + ROWS($1:13)), "") = 0), "", IFERROR(INDEX(Prévision!$C:$C, MATCH(M$1, Prévision!$B:$B, 0) + ROWS($1:13)), ""))</f>
        <v/>
      </c>
      <c r="N14" t="str" cm="1">
        <f t="array" aca="1" ref="N14" ca="1">IF(OR(OFFSET(INDIRECT(ADDRESS(ROW(), COLUMN())), -1, 0) = "",  IFERROR(INDEX(Prévision!$C:$C, MATCH(N$1, Prévision!$B:$B, 0) + ROWS($1:13)), "") = 0), "", IFERROR(INDEX(Prévision!$C:$C, MATCH(N$1, Prévision!$B:$B, 0) + ROWS($1:13)), ""))</f>
        <v/>
      </c>
      <c r="O14" t="str" cm="1">
        <f t="array" aca="1" ref="O14" ca="1">IF(OR(OFFSET(INDIRECT(ADDRESS(ROW(), COLUMN())), -1, 0) = "",  IFERROR(INDEX(Prévision!$C:$C, MATCH(O$1, Prévision!$B:$B, 0) + ROWS($1:13)), "") = 0), "", IFERROR(INDEX(Prévision!$C:$C, MATCH(O$1, Prévision!$B:$B, 0) + ROWS($1:13)), ""))</f>
        <v/>
      </c>
      <c r="P14" t="str" cm="1">
        <f t="array" aca="1" ref="P14" ca="1">IF(OR(OFFSET(INDIRECT(ADDRESS(ROW(), COLUMN())), -1, 0) = "",  IFERROR(INDEX(Prévision!$C:$C, MATCH(P$1, Prévision!$B:$B, 0) + ROWS($1:13)), "") = 0), "", IFERROR(INDEX(Prévision!$C:$C, MATCH(P$1, Prévision!$B:$B, 0) + ROWS($1:13)), ""))</f>
        <v/>
      </c>
      <c r="Q14" t="str" cm="1">
        <f t="array" aca="1" ref="Q14" ca="1">IF(OR(OFFSET(INDIRECT(ADDRESS(ROW(), COLUMN())), -1, 0) = "",  IFERROR(INDEX(Prévision!$C:$C, MATCH(Q$1, Prévision!$B:$B, 0) + ROWS($1:13)), "") = 0), "", IFERROR(INDEX(Prévision!$C:$C, MATCH(Q$1, Prévision!$B:$B, 0) + ROWS($1:13)), ""))</f>
        <v/>
      </c>
      <c r="R14" t="str" cm="1">
        <f t="array" aca="1" ref="R14" ca="1">IF(OR(OFFSET(INDIRECT(ADDRESS(ROW(), COLUMN())), -1, 0) = "",  IFERROR(INDEX(Prévision!$C:$C, MATCH(R$1, Prévision!$B:$B, 0) + ROWS($1:13)), "") = 0), "", IFERROR(INDEX(Prévision!$C:$C, MATCH(R$1, Prévision!$B:$B, 0) + ROWS($1:13)), ""))</f>
        <v/>
      </c>
      <c r="S14" t="str" cm="1">
        <f t="array" aca="1" ref="S14" ca="1">IF(OR(OFFSET(INDIRECT(ADDRESS(ROW(), COLUMN())), -1, 0) = "",  IFERROR(INDEX(Prévision!$C:$C, MATCH(S$1, Prévision!$B:$B, 0) + ROWS($1:13)), "") = 0), "", IFERROR(INDEX(Prévision!$C:$C, MATCH(S$1, Prévision!$B:$B, 0) + ROWS($1:13)), ""))</f>
        <v/>
      </c>
      <c r="T14" t="str" cm="1">
        <f t="array" aca="1" ref="T14" ca="1">IF(OR(OFFSET(INDIRECT(ADDRESS(ROW(), COLUMN())), -1, 0) = "",  IFERROR(INDEX(Prévision!$C:$C, MATCH(T$1, Prévision!$B:$B, 0) + ROWS($1:13)), "") = 0), "", IFERROR(INDEX(Prévision!$C:$C, MATCH(T$1, Prévision!$B:$B, 0) + ROWS($1:13)), ""))</f>
        <v/>
      </c>
      <c r="U14" t="str" cm="1">
        <f t="array" aca="1" ref="U14" ca="1">IF(OR(OFFSET(INDIRECT(ADDRESS(ROW(), COLUMN())), -1, 0) = "",  IFERROR(INDEX(Prévision!$C:$C, MATCH(U$1, Prévision!$B:$B, 0) + ROWS($1:13)), "") = 0), "", IFERROR(INDEX(Prévision!$C:$C, MATCH(U$1, Prévision!$B:$B, 0) + ROWS($1:13)), ""))</f>
        <v/>
      </c>
      <c r="V14" t="str" cm="1">
        <f t="array" aca="1" ref="V14" ca="1">IF(OR(OFFSET(INDIRECT(ADDRESS(ROW(), COLUMN())), -1, 0) = "",  IFERROR(INDEX(Prévision!$C:$C, MATCH(V$1, Prévision!$B:$B, 0) + ROWS($1:13)), "") = 0), "", IFERROR(INDEX(Prévision!$C:$C, MATCH(V$1, Prévision!$B:$B, 0) + ROWS($1:13)), ""))</f>
        <v/>
      </c>
      <c r="W14" t="str" cm="1">
        <f t="array" aca="1" ref="W14" ca="1">IF(OR(OFFSET(INDIRECT(ADDRESS(ROW(), COLUMN())), -1, 0) = "",  IFERROR(INDEX(Prévision!$C:$C, MATCH(W$1, Prévision!$B:$B, 0) + ROWS($1:13)), "") = 0), "", IFERROR(INDEX(Prévision!$C:$C, MATCH(W$1, Prévision!$B:$B, 0) + ROWS($1:13)), ""))</f>
        <v/>
      </c>
      <c r="X14" t="str" cm="1">
        <f t="array" aca="1" ref="X14" ca="1">IF(OR(OFFSET(INDIRECT(ADDRESS(ROW(), COLUMN())), -1, 0) = "",  IFERROR(INDEX(Prévision!$C:$C, MATCH(X$1, Prévision!$B:$B, 0) + ROWS($1:13)), "") = 0), "", IFERROR(INDEX(Prévision!$C:$C, MATCH(X$1, Prévision!$B:$B, 0) + ROWS($1:13)), ""))</f>
        <v/>
      </c>
      <c r="Y14" t="str" cm="1">
        <f t="array" aca="1" ref="Y14" ca="1">IF(OR(OFFSET(INDIRECT(ADDRESS(ROW(), COLUMN())), -1, 0) = "",  IFERROR(INDEX(Prévision!$C:$C, MATCH(Y$1, Prévision!$B:$B, 0) + ROWS($1:13)), "") = 0), "", IFERROR(INDEX(Prévision!$C:$C, MATCH(Y$1, Prévision!$B:$B, 0) + ROWS($1:13)), ""))</f>
        <v/>
      </c>
      <c r="Z14" t="str" cm="1">
        <f t="array" aca="1" ref="Z14" ca="1">IF(OR(OFFSET(INDIRECT(ADDRESS(ROW(), COLUMN())), -1, 0) = "",  IFERROR(INDEX(Prévision!$C:$C, MATCH(Z$1, Prévision!$B:$B, 0) + ROWS($1:13)), "") = 0), "", IFERROR(INDEX(Prévision!$C:$C, MATCH(Z$1, Prévision!$B:$B, 0) + ROWS($1:13)), ""))</f>
        <v/>
      </c>
    </row>
    <row r="15" spans="1:26" x14ac:dyDescent="0.35">
      <c r="A15" t="str" cm="1">
        <f t="array" ref="A15">IFERROR(INDEX(Prévision!B:B, SMALL(IF(Prévision!B:B&lt;&gt;"", ROW(Prévision!B:B)), ROW(14:14))), "")</f>
        <v>Local McNaughton</v>
      </c>
      <c r="C15" t="str" cm="1">
        <f t="array" aca="1" ref="C15" ca="1">IF(OR(OFFSET(INDIRECT(ADDRESS(ROW(), COLUMN())), -1, 0) = "",  IFERROR(INDEX(Prévision!$C:$C, MATCH(C$1, Prévision!$B:$B, 0) + ROWS($1:14)), "") = 0), "", IFERROR(INDEX(Prévision!$C:$C, MATCH(C$1, Prévision!$B:$B, 0) + ROWS($1:14)), ""))</f>
        <v/>
      </c>
      <c r="D15" t="str" cm="1">
        <f t="array" aca="1" ref="D15" ca="1">IF(OR(OFFSET(INDIRECT(ADDRESS(ROW(), COLUMN())), -1, 0) = "",  IFERROR(INDEX(Prévision!$C:$C, MATCH(D$1, Prévision!$B:$B, 0) + ROWS($1:14)), "") = 0), "", IFERROR(INDEX(Prévision!$C:$C, MATCH(D$1, Prévision!$B:$B, 0) + ROWS($1:14)), ""))</f>
        <v/>
      </c>
      <c r="E15" t="str" cm="1">
        <f t="array" aca="1" ref="E15" ca="1">IF(OR(OFFSET(INDIRECT(ADDRESS(ROW(), COLUMN())), -1, 0) = "",  IFERROR(INDEX(Prévision!$C:$C, MATCH(E$1, Prévision!$B:$B, 0) + ROWS($1:14)), "") = 0), "", IFERROR(INDEX(Prévision!$C:$C, MATCH(E$1, Prévision!$B:$B, 0) + ROWS($1:14)), ""))</f>
        <v/>
      </c>
      <c r="F15" t="str" cm="1">
        <f t="array" aca="1" ref="F15" ca="1">IF(OR(OFFSET(INDIRECT(ADDRESS(ROW(), COLUMN())), -1, 0) = "",  IFERROR(INDEX(Prévision!$C:$C, MATCH(F$1, Prévision!$B:$B, 0) + ROWS($1:14)), "") = 0), "", IFERROR(INDEX(Prévision!$C:$C, MATCH(F$1, Prévision!$B:$B, 0) + ROWS($1:14)), ""))</f>
        <v/>
      </c>
      <c r="G15" t="str" cm="1">
        <f t="array" aca="1" ref="G15" ca="1">IF(OR(OFFSET(INDIRECT(ADDRESS(ROW(), COLUMN())), -1, 0) = "",  IFERROR(INDEX(Prévision!$C:$C, MATCH(G$1, Prévision!$B:$B, 0) + ROWS($1:14)), "") = 0), "", IFERROR(INDEX(Prévision!$C:$C, MATCH(G$1, Prévision!$B:$B, 0) + ROWS($1:14)), ""))</f>
        <v/>
      </c>
      <c r="H15" t="str" cm="1">
        <f t="array" aca="1" ref="H15" ca="1">IF(OR(OFFSET(INDIRECT(ADDRESS(ROW(), COLUMN())), -1, 0) = "",  IFERROR(INDEX(Prévision!$C:$C, MATCH(H$1, Prévision!$B:$B, 0) + ROWS($1:14)), "") = 0), "", IFERROR(INDEX(Prévision!$C:$C, MATCH(H$1, Prévision!$B:$B, 0) + ROWS($1:14)), ""))</f>
        <v/>
      </c>
      <c r="I15" t="str" cm="1">
        <f t="array" aca="1" ref="I15" ca="1">IF(OR(OFFSET(INDIRECT(ADDRESS(ROW(), COLUMN())), -1, 0) = "",  IFERROR(INDEX(Prévision!$C:$C, MATCH(I$1, Prévision!$B:$B, 0) + ROWS($1:14)), "") = 0), "", IFERROR(INDEX(Prévision!$C:$C, MATCH(I$1, Prévision!$B:$B, 0) + ROWS($1:14)), ""))</f>
        <v/>
      </c>
      <c r="J15" t="str" cm="1">
        <f t="array" aca="1" ref="J15" ca="1">IF(OR(OFFSET(INDIRECT(ADDRESS(ROW(), COLUMN())), -1, 0) = "",  IFERROR(INDEX(Prévision!$C:$C, MATCH(J$1, Prévision!$B:$B, 0) + ROWS($1:14)), "") = 0), "", IFERROR(INDEX(Prévision!$C:$C, MATCH(J$1, Prévision!$B:$B, 0) + ROWS($1:14)), ""))</f>
        <v/>
      </c>
      <c r="K15" t="str" cm="1">
        <f t="array" aca="1" ref="K15" ca="1">IF(OR(OFFSET(INDIRECT(ADDRESS(ROW(), COLUMN())), -1, 0) = "",  IFERROR(INDEX(Prévision!$C:$C, MATCH(K$1, Prévision!$B:$B, 0) + ROWS($1:14)), "") = 0), "", IFERROR(INDEX(Prévision!$C:$C, MATCH(K$1, Prévision!$B:$B, 0) + ROWS($1:14)), ""))</f>
        <v/>
      </c>
      <c r="L15" t="str" cm="1">
        <f t="array" aca="1" ref="L15" ca="1">IF(OR(OFFSET(INDIRECT(ADDRESS(ROW(), COLUMN())), -1, 0) = "",  IFERROR(INDEX(Prévision!$C:$C, MATCH(L$1, Prévision!$B:$B, 0) + ROWS($1:14)), "") = 0), "", IFERROR(INDEX(Prévision!$C:$C, MATCH(L$1, Prévision!$B:$B, 0) + ROWS($1:14)), ""))</f>
        <v/>
      </c>
      <c r="M15" t="str" cm="1">
        <f t="array" aca="1" ref="M15" ca="1">IF(OR(OFFSET(INDIRECT(ADDRESS(ROW(), COLUMN())), -1, 0) = "",  IFERROR(INDEX(Prévision!$C:$C, MATCH(M$1, Prévision!$B:$B, 0) + ROWS($1:14)), "") = 0), "", IFERROR(INDEX(Prévision!$C:$C, MATCH(M$1, Prévision!$B:$B, 0) + ROWS($1:14)), ""))</f>
        <v/>
      </c>
      <c r="N15" t="str" cm="1">
        <f t="array" aca="1" ref="N15" ca="1">IF(OR(OFFSET(INDIRECT(ADDRESS(ROW(), COLUMN())), -1, 0) = "",  IFERROR(INDEX(Prévision!$C:$C, MATCH(N$1, Prévision!$B:$B, 0) + ROWS($1:14)), "") = 0), "", IFERROR(INDEX(Prévision!$C:$C, MATCH(N$1, Prévision!$B:$B, 0) + ROWS($1:14)), ""))</f>
        <v/>
      </c>
      <c r="O15" t="str" cm="1">
        <f t="array" aca="1" ref="O15" ca="1">IF(OR(OFFSET(INDIRECT(ADDRESS(ROW(), COLUMN())), -1, 0) = "",  IFERROR(INDEX(Prévision!$C:$C, MATCH(O$1, Prévision!$B:$B, 0) + ROWS($1:14)), "") = 0), "", IFERROR(INDEX(Prévision!$C:$C, MATCH(O$1, Prévision!$B:$B, 0) + ROWS($1:14)), ""))</f>
        <v/>
      </c>
      <c r="P15" t="str" cm="1">
        <f t="array" aca="1" ref="P15" ca="1">IF(OR(OFFSET(INDIRECT(ADDRESS(ROW(), COLUMN())), -1, 0) = "",  IFERROR(INDEX(Prévision!$C:$C, MATCH(P$1, Prévision!$B:$B, 0) + ROWS($1:14)), "") = 0), "", IFERROR(INDEX(Prévision!$C:$C, MATCH(P$1, Prévision!$B:$B, 0) + ROWS($1:14)), ""))</f>
        <v/>
      </c>
      <c r="Q15" t="str" cm="1">
        <f t="array" aca="1" ref="Q15" ca="1">IF(OR(OFFSET(INDIRECT(ADDRESS(ROW(), COLUMN())), -1, 0) = "",  IFERROR(INDEX(Prévision!$C:$C, MATCH(Q$1, Prévision!$B:$B, 0) + ROWS($1:14)), "") = 0), "", IFERROR(INDEX(Prévision!$C:$C, MATCH(Q$1, Prévision!$B:$B, 0) + ROWS($1:14)), ""))</f>
        <v/>
      </c>
      <c r="R15" t="str" cm="1">
        <f t="array" aca="1" ref="R15" ca="1">IF(OR(OFFSET(INDIRECT(ADDRESS(ROW(), COLUMN())), -1, 0) = "",  IFERROR(INDEX(Prévision!$C:$C, MATCH(R$1, Prévision!$B:$B, 0) + ROWS($1:14)), "") = 0), "", IFERROR(INDEX(Prévision!$C:$C, MATCH(R$1, Prévision!$B:$B, 0) + ROWS($1:14)), ""))</f>
        <v/>
      </c>
      <c r="S15" t="str" cm="1">
        <f t="array" aca="1" ref="S15" ca="1">IF(OR(OFFSET(INDIRECT(ADDRESS(ROW(), COLUMN())), -1, 0) = "",  IFERROR(INDEX(Prévision!$C:$C, MATCH(S$1, Prévision!$B:$B, 0) + ROWS($1:14)), "") = 0), "", IFERROR(INDEX(Prévision!$C:$C, MATCH(S$1, Prévision!$B:$B, 0) + ROWS($1:14)), ""))</f>
        <v/>
      </c>
      <c r="T15" t="str" cm="1">
        <f t="array" aca="1" ref="T15" ca="1">IF(OR(OFFSET(INDIRECT(ADDRESS(ROW(), COLUMN())), -1, 0) = "",  IFERROR(INDEX(Prévision!$C:$C, MATCH(T$1, Prévision!$B:$B, 0) + ROWS($1:14)), "") = 0), "", IFERROR(INDEX(Prévision!$C:$C, MATCH(T$1, Prévision!$B:$B, 0) + ROWS($1:14)), ""))</f>
        <v/>
      </c>
      <c r="U15" t="str" cm="1">
        <f t="array" aca="1" ref="U15" ca="1">IF(OR(OFFSET(INDIRECT(ADDRESS(ROW(), COLUMN())), -1, 0) = "",  IFERROR(INDEX(Prévision!$C:$C, MATCH(U$1, Prévision!$B:$B, 0) + ROWS($1:14)), "") = 0), "", IFERROR(INDEX(Prévision!$C:$C, MATCH(U$1, Prévision!$B:$B, 0) + ROWS($1:14)), ""))</f>
        <v/>
      </c>
      <c r="V15" t="str" cm="1">
        <f t="array" aca="1" ref="V15" ca="1">IF(OR(OFFSET(INDIRECT(ADDRESS(ROW(), COLUMN())), -1, 0) = "",  IFERROR(INDEX(Prévision!$C:$C, MATCH(V$1, Prévision!$B:$B, 0) + ROWS($1:14)), "") = 0), "", IFERROR(INDEX(Prévision!$C:$C, MATCH(V$1, Prévision!$B:$B, 0) + ROWS($1:14)), ""))</f>
        <v/>
      </c>
      <c r="W15" t="str" cm="1">
        <f t="array" aca="1" ref="W15" ca="1">IF(OR(OFFSET(INDIRECT(ADDRESS(ROW(), COLUMN())), -1, 0) = "",  IFERROR(INDEX(Prévision!$C:$C, MATCH(W$1, Prévision!$B:$B, 0) + ROWS($1:14)), "") = 0), "", IFERROR(INDEX(Prévision!$C:$C, MATCH(W$1, Prévision!$B:$B, 0) + ROWS($1:14)), ""))</f>
        <v/>
      </c>
      <c r="X15" t="str" cm="1">
        <f t="array" aca="1" ref="X15" ca="1">IF(OR(OFFSET(INDIRECT(ADDRESS(ROW(), COLUMN())), -1, 0) = "",  IFERROR(INDEX(Prévision!$C:$C, MATCH(X$1, Prévision!$B:$B, 0) + ROWS($1:14)), "") = 0), "", IFERROR(INDEX(Prévision!$C:$C, MATCH(X$1, Prévision!$B:$B, 0) + ROWS($1:14)), ""))</f>
        <v/>
      </c>
      <c r="Y15" t="str" cm="1">
        <f t="array" aca="1" ref="Y15" ca="1">IF(OR(OFFSET(INDIRECT(ADDRESS(ROW(), COLUMN())), -1, 0) = "",  IFERROR(INDEX(Prévision!$C:$C, MATCH(Y$1, Prévision!$B:$B, 0) + ROWS($1:14)), "") = 0), "", IFERROR(INDEX(Prévision!$C:$C, MATCH(Y$1, Prévision!$B:$B, 0) + ROWS($1:14)), ""))</f>
        <v/>
      </c>
      <c r="Z15" t="str" cm="1">
        <f t="array" aca="1" ref="Z15" ca="1">IF(OR(OFFSET(INDIRECT(ADDRESS(ROW(), COLUMN())), -1, 0) = "",  IFERROR(INDEX(Prévision!$C:$C, MATCH(Z$1, Prévision!$B:$B, 0) + ROWS($1:14)), "") = 0), "", IFERROR(INDEX(Prévision!$C:$C, MATCH(Z$1, Prévision!$B:$B, 0) + ROWS($1:14)), ""))</f>
        <v/>
      </c>
    </row>
    <row r="16" spans="1:26" x14ac:dyDescent="0.35">
      <c r="A16" t="str" cm="1">
        <f t="array" ref="A16">IFERROR(INDEX(Prévision!B:B, SMALL(IF(Prévision!B:B&lt;&gt;"", ROW(Prévision!B:B)), ROW(15:15))), "")</f>
        <v/>
      </c>
      <c r="C16" t="str" cm="1">
        <f t="array" aca="1" ref="C16" ca="1">IF(OR(OFFSET(INDIRECT(ADDRESS(ROW(), COLUMN())), -1, 0) = "",  IFERROR(INDEX(Prévision!$C:$C, MATCH(C$1, Prévision!$B:$B, 0) + ROWS($1:15)), "") = 0), "", IFERROR(INDEX(Prévision!$C:$C, MATCH(C$1, Prévision!$B:$B, 0) + ROWS($1:15)), ""))</f>
        <v/>
      </c>
      <c r="D16" t="str" cm="1">
        <f t="array" aca="1" ref="D16" ca="1">IF(OR(OFFSET(INDIRECT(ADDRESS(ROW(), COLUMN())), -1, 0) = "",  IFERROR(INDEX(Prévision!$C:$C, MATCH(D$1, Prévision!$B:$B, 0) + ROWS($1:15)), "") = 0), "", IFERROR(INDEX(Prévision!$C:$C, MATCH(D$1, Prévision!$B:$B, 0) + ROWS($1:15)), ""))</f>
        <v/>
      </c>
      <c r="E16" t="str" cm="1">
        <f t="array" aca="1" ref="E16" ca="1">IF(OR(OFFSET(INDIRECT(ADDRESS(ROW(), COLUMN())), -1, 0) = "",  IFERROR(INDEX(Prévision!$C:$C, MATCH(E$1, Prévision!$B:$B, 0) + ROWS($1:15)), "") = 0), "", IFERROR(INDEX(Prévision!$C:$C, MATCH(E$1, Prévision!$B:$B, 0) + ROWS($1:15)), ""))</f>
        <v/>
      </c>
      <c r="F16" t="str" cm="1">
        <f t="array" aca="1" ref="F16" ca="1">IF(OR(OFFSET(INDIRECT(ADDRESS(ROW(), COLUMN())), -1, 0) = "",  IFERROR(INDEX(Prévision!$C:$C, MATCH(F$1, Prévision!$B:$B, 0) + ROWS($1:15)), "") = 0), "", IFERROR(INDEX(Prévision!$C:$C, MATCH(F$1, Prévision!$B:$B, 0) + ROWS($1:15)), ""))</f>
        <v/>
      </c>
      <c r="G16" t="str" cm="1">
        <f t="array" aca="1" ref="G16" ca="1">IF(OR(OFFSET(INDIRECT(ADDRESS(ROW(), COLUMN())), -1, 0) = "",  IFERROR(INDEX(Prévision!$C:$C, MATCH(G$1, Prévision!$B:$B, 0) + ROWS($1:15)), "") = 0), "", IFERROR(INDEX(Prévision!$C:$C, MATCH(G$1, Prévision!$B:$B, 0) + ROWS($1:15)), ""))</f>
        <v/>
      </c>
      <c r="H16" t="str" cm="1">
        <f t="array" aca="1" ref="H16" ca="1">IF(OR(OFFSET(INDIRECT(ADDRESS(ROW(), COLUMN())), -1, 0) = "",  IFERROR(INDEX(Prévision!$C:$C, MATCH(H$1, Prévision!$B:$B, 0) + ROWS($1:15)), "") = 0), "", IFERROR(INDEX(Prévision!$C:$C, MATCH(H$1, Prévision!$B:$B, 0) + ROWS($1:15)), ""))</f>
        <v/>
      </c>
      <c r="I16" t="str" cm="1">
        <f t="array" aca="1" ref="I16" ca="1">IF(OR(OFFSET(INDIRECT(ADDRESS(ROW(), COLUMN())), -1, 0) = "",  IFERROR(INDEX(Prévision!$C:$C, MATCH(I$1, Prévision!$B:$B, 0) + ROWS($1:15)), "") = 0), "", IFERROR(INDEX(Prévision!$C:$C, MATCH(I$1, Prévision!$B:$B, 0) + ROWS($1:15)), ""))</f>
        <v/>
      </c>
      <c r="J16" t="str" cm="1">
        <f t="array" aca="1" ref="J16" ca="1">IF(OR(OFFSET(INDIRECT(ADDRESS(ROW(), COLUMN())), -1, 0) = "",  IFERROR(INDEX(Prévision!$C:$C, MATCH(J$1, Prévision!$B:$B, 0) + ROWS($1:15)), "") = 0), "", IFERROR(INDEX(Prévision!$C:$C, MATCH(J$1, Prévision!$B:$B, 0) + ROWS($1:15)), ""))</f>
        <v/>
      </c>
      <c r="K16" t="str" cm="1">
        <f t="array" aca="1" ref="K16" ca="1">IF(OR(OFFSET(INDIRECT(ADDRESS(ROW(), COLUMN())), -1, 0) = "",  IFERROR(INDEX(Prévision!$C:$C, MATCH(K$1, Prévision!$B:$B, 0) + ROWS($1:15)), "") = 0), "", IFERROR(INDEX(Prévision!$C:$C, MATCH(K$1, Prévision!$B:$B, 0) + ROWS($1:15)), ""))</f>
        <v/>
      </c>
      <c r="L16" t="str" cm="1">
        <f t="array" aca="1" ref="L16" ca="1">IF(OR(OFFSET(INDIRECT(ADDRESS(ROW(), COLUMN())), -1, 0) = "",  IFERROR(INDEX(Prévision!$C:$C, MATCH(L$1, Prévision!$B:$B, 0) + ROWS($1:15)), "") = 0), "", IFERROR(INDEX(Prévision!$C:$C, MATCH(L$1, Prévision!$B:$B, 0) + ROWS($1:15)), ""))</f>
        <v/>
      </c>
      <c r="M16" t="str" cm="1">
        <f t="array" aca="1" ref="M16" ca="1">IF(OR(OFFSET(INDIRECT(ADDRESS(ROW(), COLUMN())), -1, 0) = "",  IFERROR(INDEX(Prévision!$C:$C, MATCH(M$1, Prévision!$B:$B, 0) + ROWS($1:15)), "") = 0), "", IFERROR(INDEX(Prévision!$C:$C, MATCH(M$1, Prévision!$B:$B, 0) + ROWS($1:15)), ""))</f>
        <v/>
      </c>
      <c r="N16" t="str" cm="1">
        <f t="array" aca="1" ref="N16" ca="1">IF(OR(OFFSET(INDIRECT(ADDRESS(ROW(), COLUMN())), -1, 0) = "",  IFERROR(INDEX(Prévision!$C:$C, MATCH(N$1, Prévision!$B:$B, 0) + ROWS($1:15)), "") = 0), "", IFERROR(INDEX(Prévision!$C:$C, MATCH(N$1, Prévision!$B:$B, 0) + ROWS($1:15)), ""))</f>
        <v/>
      </c>
      <c r="O16" t="str" cm="1">
        <f t="array" aca="1" ref="O16" ca="1">IF(OR(OFFSET(INDIRECT(ADDRESS(ROW(), COLUMN())), -1, 0) = "",  IFERROR(INDEX(Prévision!$C:$C, MATCH(O$1, Prévision!$B:$B, 0) + ROWS($1:15)), "") = 0), "", IFERROR(INDEX(Prévision!$C:$C, MATCH(O$1, Prévision!$B:$B, 0) + ROWS($1:15)), ""))</f>
        <v/>
      </c>
      <c r="P16" t="str" cm="1">
        <f t="array" aca="1" ref="P16" ca="1">IF(OR(OFFSET(INDIRECT(ADDRESS(ROW(), COLUMN())), -1, 0) = "",  IFERROR(INDEX(Prévision!$C:$C, MATCH(P$1, Prévision!$B:$B, 0) + ROWS($1:15)), "") = 0), "", IFERROR(INDEX(Prévision!$C:$C, MATCH(P$1, Prévision!$B:$B, 0) + ROWS($1:15)), ""))</f>
        <v/>
      </c>
      <c r="Q16" t="str" cm="1">
        <f t="array" aca="1" ref="Q16" ca="1">IF(OR(OFFSET(INDIRECT(ADDRESS(ROW(), COLUMN())), -1, 0) = "",  IFERROR(INDEX(Prévision!$C:$C, MATCH(Q$1, Prévision!$B:$B, 0) + ROWS($1:15)), "") = 0), "", IFERROR(INDEX(Prévision!$C:$C, MATCH(Q$1, Prévision!$B:$B, 0) + ROWS($1:15)), ""))</f>
        <v/>
      </c>
      <c r="R16" t="str" cm="1">
        <f t="array" aca="1" ref="R16" ca="1">IF(OR(OFFSET(INDIRECT(ADDRESS(ROW(), COLUMN())), -1, 0) = "",  IFERROR(INDEX(Prévision!$C:$C, MATCH(R$1, Prévision!$B:$B, 0) + ROWS($1:15)), "") = 0), "", IFERROR(INDEX(Prévision!$C:$C, MATCH(R$1, Prévision!$B:$B, 0) + ROWS($1:15)), ""))</f>
        <v/>
      </c>
      <c r="S16" t="str" cm="1">
        <f t="array" aca="1" ref="S16" ca="1">IF(OR(OFFSET(INDIRECT(ADDRESS(ROW(), COLUMN())), -1, 0) = "",  IFERROR(INDEX(Prévision!$C:$C, MATCH(S$1, Prévision!$B:$B, 0) + ROWS($1:15)), "") = 0), "", IFERROR(INDEX(Prévision!$C:$C, MATCH(S$1, Prévision!$B:$B, 0) + ROWS($1:15)), ""))</f>
        <v/>
      </c>
      <c r="T16" t="str" cm="1">
        <f t="array" aca="1" ref="T16" ca="1">IF(OR(OFFSET(INDIRECT(ADDRESS(ROW(), COLUMN())), -1, 0) = "",  IFERROR(INDEX(Prévision!$C:$C, MATCH(T$1, Prévision!$B:$B, 0) + ROWS($1:15)), "") = 0), "", IFERROR(INDEX(Prévision!$C:$C, MATCH(T$1, Prévision!$B:$B, 0) + ROWS($1:15)), ""))</f>
        <v/>
      </c>
      <c r="U16" t="str" cm="1">
        <f t="array" aca="1" ref="U16" ca="1">IF(OR(OFFSET(INDIRECT(ADDRESS(ROW(), COLUMN())), -1, 0) = "",  IFERROR(INDEX(Prévision!$C:$C, MATCH(U$1, Prévision!$B:$B, 0) + ROWS($1:15)), "") = 0), "", IFERROR(INDEX(Prévision!$C:$C, MATCH(U$1, Prévision!$B:$B, 0) + ROWS($1:15)), ""))</f>
        <v/>
      </c>
      <c r="V16" t="str" cm="1">
        <f t="array" aca="1" ref="V16" ca="1">IF(OR(OFFSET(INDIRECT(ADDRESS(ROW(), COLUMN())), -1, 0) = "",  IFERROR(INDEX(Prévision!$C:$C, MATCH(V$1, Prévision!$B:$B, 0) + ROWS($1:15)), "") = 0), "", IFERROR(INDEX(Prévision!$C:$C, MATCH(V$1, Prévision!$B:$B, 0) + ROWS($1:15)), ""))</f>
        <v/>
      </c>
      <c r="W16" t="str" cm="1">
        <f t="array" aca="1" ref="W16" ca="1">IF(OR(OFFSET(INDIRECT(ADDRESS(ROW(), COLUMN())), -1, 0) = "",  IFERROR(INDEX(Prévision!$C:$C, MATCH(W$1, Prévision!$B:$B, 0) + ROWS($1:15)), "") = 0), "", IFERROR(INDEX(Prévision!$C:$C, MATCH(W$1, Prévision!$B:$B, 0) + ROWS($1:15)), ""))</f>
        <v/>
      </c>
      <c r="X16" t="str" cm="1">
        <f t="array" aca="1" ref="X16" ca="1">IF(OR(OFFSET(INDIRECT(ADDRESS(ROW(), COLUMN())), -1, 0) = "",  IFERROR(INDEX(Prévision!$C:$C, MATCH(X$1, Prévision!$B:$B, 0) + ROWS($1:15)), "") = 0), "", IFERROR(INDEX(Prévision!$C:$C, MATCH(X$1, Prévision!$B:$B, 0) + ROWS($1:15)), ""))</f>
        <v/>
      </c>
      <c r="Y16" t="str" cm="1">
        <f t="array" aca="1" ref="Y16" ca="1">IF(OR(OFFSET(INDIRECT(ADDRESS(ROW(), COLUMN())), -1, 0) = "",  IFERROR(INDEX(Prévision!$C:$C, MATCH(Y$1, Prévision!$B:$B, 0) + ROWS($1:15)), "") = 0), "", IFERROR(INDEX(Prévision!$C:$C, MATCH(Y$1, Prévision!$B:$B, 0) + ROWS($1:15)), ""))</f>
        <v/>
      </c>
      <c r="Z16" t="str" cm="1">
        <f t="array" aca="1" ref="Z16" ca="1">IF(OR(OFFSET(INDIRECT(ADDRESS(ROW(), COLUMN())), -1, 0) = "",  IFERROR(INDEX(Prévision!$C:$C, MATCH(Z$1, Prévision!$B:$B, 0) + ROWS($1:15)), "") = 0), "", IFERROR(INDEX(Prévision!$C:$C, MATCH(Z$1, Prévision!$B:$B, 0) + ROWS($1:15)), ""))</f>
        <v/>
      </c>
    </row>
    <row r="17" spans="1:26" x14ac:dyDescent="0.35">
      <c r="A17" t="str" cm="1">
        <f t="array" ref="A17">IFERROR(INDEX(Prévision!B:B, SMALL(IF(Prévision!B:B&lt;&gt;"", ROW(Prévision!B:B)), ROW(16:16))), "")</f>
        <v/>
      </c>
      <c r="C17" t="str" cm="1">
        <f t="array" aca="1" ref="C17" ca="1">IF(OR(OFFSET(INDIRECT(ADDRESS(ROW(), COLUMN())), -1, 0) = "",  IFERROR(INDEX(Prévision!$C:$C, MATCH(C$1, Prévision!$B:$B, 0) + ROWS($1:16)), "") = 0), "", IFERROR(INDEX(Prévision!$C:$C, MATCH(C$1, Prévision!$B:$B, 0) + ROWS($1:16)), ""))</f>
        <v/>
      </c>
      <c r="D17" t="str" cm="1">
        <f t="array" aca="1" ref="D17" ca="1">IF(OR(OFFSET(INDIRECT(ADDRESS(ROW(), COLUMN())), -1, 0) = "",  IFERROR(INDEX(Prévision!$C:$C, MATCH(D$1, Prévision!$B:$B, 0) + ROWS($1:16)), "") = 0), "", IFERROR(INDEX(Prévision!$C:$C, MATCH(D$1, Prévision!$B:$B, 0) + ROWS($1:16)), ""))</f>
        <v/>
      </c>
      <c r="E17" t="str" cm="1">
        <f t="array" aca="1" ref="E17" ca="1">IF(OR(OFFSET(INDIRECT(ADDRESS(ROW(), COLUMN())), -1, 0) = "",  IFERROR(INDEX(Prévision!$C:$C, MATCH(E$1, Prévision!$B:$B, 0) + ROWS($1:16)), "") = 0), "", IFERROR(INDEX(Prévision!$C:$C, MATCH(E$1, Prévision!$B:$B, 0) + ROWS($1:16)), ""))</f>
        <v/>
      </c>
      <c r="F17" t="str" cm="1">
        <f t="array" aca="1" ref="F17" ca="1">IF(OR(OFFSET(INDIRECT(ADDRESS(ROW(), COLUMN())), -1, 0) = "",  IFERROR(INDEX(Prévision!$C:$C, MATCH(F$1, Prévision!$B:$B, 0) + ROWS($1:16)), "") = 0), "", IFERROR(INDEX(Prévision!$C:$C, MATCH(F$1, Prévision!$B:$B, 0) + ROWS($1:16)), ""))</f>
        <v/>
      </c>
      <c r="G17" t="str" cm="1">
        <f t="array" aca="1" ref="G17" ca="1">IF(OR(OFFSET(INDIRECT(ADDRESS(ROW(), COLUMN())), -1, 0) = "",  IFERROR(INDEX(Prévision!$C:$C, MATCH(G$1, Prévision!$B:$B, 0) + ROWS($1:16)), "") = 0), "", IFERROR(INDEX(Prévision!$C:$C, MATCH(G$1, Prévision!$B:$B, 0) + ROWS($1:16)), ""))</f>
        <v/>
      </c>
      <c r="H17" t="str" cm="1">
        <f t="array" aca="1" ref="H17" ca="1">IF(OR(OFFSET(INDIRECT(ADDRESS(ROW(), COLUMN())), -1, 0) = "",  IFERROR(INDEX(Prévision!$C:$C, MATCH(H$1, Prévision!$B:$B, 0) + ROWS($1:16)), "") = 0), "", IFERROR(INDEX(Prévision!$C:$C, MATCH(H$1, Prévision!$B:$B, 0) + ROWS($1:16)), ""))</f>
        <v/>
      </c>
      <c r="I17" t="str" cm="1">
        <f t="array" aca="1" ref="I17" ca="1">IF(OR(OFFSET(INDIRECT(ADDRESS(ROW(), COLUMN())), -1, 0) = "",  IFERROR(INDEX(Prévision!$C:$C, MATCH(I$1, Prévision!$B:$B, 0) + ROWS($1:16)), "") = 0), "", IFERROR(INDEX(Prévision!$C:$C, MATCH(I$1, Prévision!$B:$B, 0) + ROWS($1:16)), ""))</f>
        <v/>
      </c>
      <c r="J17" t="str" cm="1">
        <f t="array" aca="1" ref="J17" ca="1">IF(OR(OFFSET(INDIRECT(ADDRESS(ROW(), COLUMN())), -1, 0) = "",  IFERROR(INDEX(Prévision!$C:$C, MATCH(J$1, Prévision!$B:$B, 0) + ROWS($1:16)), "") = 0), "", IFERROR(INDEX(Prévision!$C:$C, MATCH(J$1, Prévision!$B:$B, 0) + ROWS($1:16)), ""))</f>
        <v/>
      </c>
      <c r="K17" t="str" cm="1">
        <f t="array" aca="1" ref="K17" ca="1">IF(OR(OFFSET(INDIRECT(ADDRESS(ROW(), COLUMN())), -1, 0) = "",  IFERROR(INDEX(Prévision!$C:$C, MATCH(K$1, Prévision!$B:$B, 0) + ROWS($1:16)), "") = 0), "", IFERROR(INDEX(Prévision!$C:$C, MATCH(K$1, Prévision!$B:$B, 0) + ROWS($1:16)), ""))</f>
        <v/>
      </c>
      <c r="L17" t="str" cm="1">
        <f t="array" aca="1" ref="L17" ca="1">IF(OR(OFFSET(INDIRECT(ADDRESS(ROW(), COLUMN())), -1, 0) = "",  IFERROR(INDEX(Prévision!$C:$C, MATCH(L$1, Prévision!$B:$B, 0) + ROWS($1:16)), "") = 0), "", IFERROR(INDEX(Prévision!$C:$C, MATCH(L$1, Prévision!$B:$B, 0) + ROWS($1:16)), ""))</f>
        <v/>
      </c>
      <c r="M17" t="str" cm="1">
        <f t="array" aca="1" ref="M17" ca="1">IF(OR(OFFSET(INDIRECT(ADDRESS(ROW(), COLUMN())), -1, 0) = "",  IFERROR(INDEX(Prévision!$C:$C, MATCH(M$1, Prévision!$B:$B, 0) + ROWS($1:16)), "") = 0), "", IFERROR(INDEX(Prévision!$C:$C, MATCH(M$1, Prévision!$B:$B, 0) + ROWS($1:16)), ""))</f>
        <v/>
      </c>
      <c r="N17" t="str" cm="1">
        <f t="array" aca="1" ref="N17" ca="1">IF(OR(OFFSET(INDIRECT(ADDRESS(ROW(), COLUMN())), -1, 0) = "",  IFERROR(INDEX(Prévision!$C:$C, MATCH(N$1, Prévision!$B:$B, 0) + ROWS($1:16)), "") = 0), "", IFERROR(INDEX(Prévision!$C:$C, MATCH(N$1, Prévision!$B:$B, 0) + ROWS($1:16)), ""))</f>
        <v/>
      </c>
      <c r="O17" t="str" cm="1">
        <f t="array" aca="1" ref="O17" ca="1">IF(OR(OFFSET(INDIRECT(ADDRESS(ROW(), COLUMN())), -1, 0) = "",  IFERROR(INDEX(Prévision!$C:$C, MATCH(O$1, Prévision!$B:$B, 0) + ROWS($1:16)), "") = 0), "", IFERROR(INDEX(Prévision!$C:$C, MATCH(O$1, Prévision!$B:$B, 0) + ROWS($1:16)), ""))</f>
        <v/>
      </c>
      <c r="P17" t="str" cm="1">
        <f t="array" aca="1" ref="P17" ca="1">IF(OR(OFFSET(INDIRECT(ADDRESS(ROW(), COLUMN())), -1, 0) = "",  IFERROR(INDEX(Prévision!$C:$C, MATCH(P$1, Prévision!$B:$B, 0) + ROWS($1:16)), "") = 0), "", IFERROR(INDEX(Prévision!$C:$C, MATCH(P$1, Prévision!$B:$B, 0) + ROWS($1:16)), ""))</f>
        <v/>
      </c>
      <c r="Q17" t="str" cm="1">
        <f t="array" aca="1" ref="Q17" ca="1">IF(OR(OFFSET(INDIRECT(ADDRESS(ROW(), COLUMN())), -1, 0) = "",  IFERROR(INDEX(Prévision!$C:$C, MATCH(Q$1, Prévision!$B:$B, 0) + ROWS($1:16)), "") = 0), "", IFERROR(INDEX(Prévision!$C:$C, MATCH(Q$1, Prévision!$B:$B, 0) + ROWS($1:16)), ""))</f>
        <v/>
      </c>
      <c r="R17" t="str" cm="1">
        <f t="array" aca="1" ref="R17" ca="1">IF(OR(OFFSET(INDIRECT(ADDRESS(ROW(), COLUMN())), -1, 0) = "",  IFERROR(INDEX(Prévision!$C:$C, MATCH(R$1, Prévision!$B:$B, 0) + ROWS($1:16)), "") = 0), "", IFERROR(INDEX(Prévision!$C:$C, MATCH(R$1, Prévision!$B:$B, 0) + ROWS($1:16)), ""))</f>
        <v/>
      </c>
      <c r="S17" t="str" cm="1">
        <f t="array" aca="1" ref="S17" ca="1">IF(OR(OFFSET(INDIRECT(ADDRESS(ROW(), COLUMN())), -1, 0) = "",  IFERROR(INDEX(Prévision!$C:$C, MATCH(S$1, Prévision!$B:$B, 0) + ROWS($1:16)), "") = 0), "", IFERROR(INDEX(Prévision!$C:$C, MATCH(S$1, Prévision!$B:$B, 0) + ROWS($1:16)), ""))</f>
        <v/>
      </c>
      <c r="T17" t="str" cm="1">
        <f t="array" aca="1" ref="T17" ca="1">IF(OR(OFFSET(INDIRECT(ADDRESS(ROW(), COLUMN())), -1, 0) = "",  IFERROR(INDEX(Prévision!$C:$C, MATCH(T$1, Prévision!$B:$B, 0) + ROWS($1:16)), "") = 0), "", IFERROR(INDEX(Prévision!$C:$C, MATCH(T$1, Prévision!$B:$B, 0) + ROWS($1:16)), ""))</f>
        <v/>
      </c>
      <c r="U17" t="str" cm="1">
        <f t="array" aca="1" ref="U17" ca="1">IF(OR(OFFSET(INDIRECT(ADDRESS(ROW(), COLUMN())), -1, 0) = "",  IFERROR(INDEX(Prévision!$C:$C, MATCH(U$1, Prévision!$B:$B, 0) + ROWS($1:16)), "") = 0), "", IFERROR(INDEX(Prévision!$C:$C, MATCH(U$1, Prévision!$B:$B, 0) + ROWS($1:16)), ""))</f>
        <v/>
      </c>
      <c r="V17" t="str" cm="1">
        <f t="array" aca="1" ref="V17" ca="1">IF(OR(OFFSET(INDIRECT(ADDRESS(ROW(), COLUMN())), -1, 0) = "",  IFERROR(INDEX(Prévision!$C:$C, MATCH(V$1, Prévision!$B:$B, 0) + ROWS($1:16)), "") = 0), "", IFERROR(INDEX(Prévision!$C:$C, MATCH(V$1, Prévision!$B:$B, 0) + ROWS($1:16)), ""))</f>
        <v/>
      </c>
      <c r="W17" t="str" cm="1">
        <f t="array" aca="1" ref="W17" ca="1">IF(OR(OFFSET(INDIRECT(ADDRESS(ROW(), COLUMN())), -1, 0) = "",  IFERROR(INDEX(Prévision!$C:$C, MATCH(W$1, Prévision!$B:$B, 0) + ROWS($1:16)), "") = 0), "", IFERROR(INDEX(Prévision!$C:$C, MATCH(W$1, Prévision!$B:$B, 0) + ROWS($1:16)), ""))</f>
        <v/>
      </c>
      <c r="X17" t="str" cm="1">
        <f t="array" aca="1" ref="X17" ca="1">IF(OR(OFFSET(INDIRECT(ADDRESS(ROW(), COLUMN())), -1, 0) = "",  IFERROR(INDEX(Prévision!$C:$C, MATCH(X$1, Prévision!$B:$B, 0) + ROWS($1:16)), "") = 0), "", IFERROR(INDEX(Prévision!$C:$C, MATCH(X$1, Prévision!$B:$B, 0) + ROWS($1:16)), ""))</f>
        <v/>
      </c>
      <c r="Y17" t="str" cm="1">
        <f t="array" aca="1" ref="Y17" ca="1">IF(OR(OFFSET(INDIRECT(ADDRESS(ROW(), COLUMN())), -1, 0) = "",  IFERROR(INDEX(Prévision!$C:$C, MATCH(Y$1, Prévision!$B:$B, 0) + ROWS($1:16)), "") = 0), "", IFERROR(INDEX(Prévision!$C:$C, MATCH(Y$1, Prévision!$B:$B, 0) + ROWS($1:16)), ""))</f>
        <v/>
      </c>
      <c r="Z17" t="str" cm="1">
        <f t="array" aca="1" ref="Z17" ca="1">IF(OR(OFFSET(INDIRECT(ADDRESS(ROW(), COLUMN())), -1, 0) = "",  IFERROR(INDEX(Prévision!$C:$C, MATCH(Z$1, Prévision!$B:$B, 0) + ROWS($1:16)), "") = 0), "", IFERROR(INDEX(Prévision!$C:$C, MATCH(Z$1, Prévision!$B:$B, 0) + ROWS($1:16)), ""))</f>
        <v/>
      </c>
    </row>
    <row r="18" spans="1:26" x14ac:dyDescent="0.35">
      <c r="A18" t="str" cm="1">
        <f t="array" ref="A18">IFERROR(INDEX(Prévision!B:B, SMALL(IF(Prévision!B:B&lt;&gt;"", ROW(Prévision!B:B)), ROW(17:17))), "")</f>
        <v/>
      </c>
      <c r="C18" t="str" cm="1">
        <f t="array" aca="1" ref="C18" ca="1">IF(OR(OFFSET(INDIRECT(ADDRESS(ROW(), COLUMN())), -1, 0) = "",  IFERROR(INDEX(Prévision!$C:$C, MATCH(C$1, Prévision!$B:$B, 0) + ROWS($1:17)), "") = 0), "", IFERROR(INDEX(Prévision!$C:$C, MATCH(C$1, Prévision!$B:$B, 0) + ROWS($1:17)), ""))</f>
        <v/>
      </c>
      <c r="D18" t="str" cm="1">
        <f t="array" aca="1" ref="D18" ca="1">IF(OR(OFFSET(INDIRECT(ADDRESS(ROW(), COLUMN())), -1, 0) = "",  IFERROR(INDEX(Prévision!$C:$C, MATCH(D$1, Prévision!$B:$B, 0) + ROWS($1:17)), "") = 0), "", IFERROR(INDEX(Prévision!$C:$C, MATCH(D$1, Prévision!$B:$B, 0) + ROWS($1:17)), ""))</f>
        <v/>
      </c>
      <c r="E18" t="str" cm="1">
        <f t="array" aca="1" ref="E18" ca="1">IF(OR(OFFSET(INDIRECT(ADDRESS(ROW(), COLUMN())), -1, 0) = "",  IFERROR(INDEX(Prévision!$C:$C, MATCH(E$1, Prévision!$B:$B, 0) + ROWS($1:17)), "") = 0), "", IFERROR(INDEX(Prévision!$C:$C, MATCH(E$1, Prévision!$B:$B, 0) + ROWS($1:17)), ""))</f>
        <v/>
      </c>
      <c r="F18" t="str" cm="1">
        <f t="array" aca="1" ref="F18" ca="1">IF(OR(OFFSET(INDIRECT(ADDRESS(ROW(), COLUMN())), -1, 0) = "",  IFERROR(INDEX(Prévision!$C:$C, MATCH(F$1, Prévision!$B:$B, 0) + ROWS($1:17)), "") = 0), "", IFERROR(INDEX(Prévision!$C:$C, MATCH(F$1, Prévision!$B:$B, 0) + ROWS($1:17)), ""))</f>
        <v/>
      </c>
      <c r="G18" t="str" cm="1">
        <f t="array" aca="1" ref="G18" ca="1">IF(OR(OFFSET(INDIRECT(ADDRESS(ROW(), COLUMN())), -1, 0) = "",  IFERROR(INDEX(Prévision!$C:$C, MATCH(G$1, Prévision!$B:$B, 0) + ROWS($1:17)), "") = 0), "", IFERROR(INDEX(Prévision!$C:$C, MATCH(G$1, Prévision!$B:$B, 0) + ROWS($1:17)), ""))</f>
        <v/>
      </c>
      <c r="H18" t="str" cm="1">
        <f t="array" aca="1" ref="H18" ca="1">IF(OR(OFFSET(INDIRECT(ADDRESS(ROW(), COLUMN())), -1, 0) = "",  IFERROR(INDEX(Prévision!$C:$C, MATCH(H$1, Prévision!$B:$B, 0) + ROWS($1:17)), "") = 0), "", IFERROR(INDEX(Prévision!$C:$C, MATCH(H$1, Prévision!$B:$B, 0) + ROWS($1:17)), ""))</f>
        <v/>
      </c>
      <c r="I18" t="str" cm="1">
        <f t="array" aca="1" ref="I18" ca="1">IF(OR(OFFSET(INDIRECT(ADDRESS(ROW(), COLUMN())), -1, 0) = "",  IFERROR(INDEX(Prévision!$C:$C, MATCH(I$1, Prévision!$B:$B, 0) + ROWS($1:17)), "") = 0), "", IFERROR(INDEX(Prévision!$C:$C, MATCH(I$1, Prévision!$B:$B, 0) + ROWS($1:17)), ""))</f>
        <v/>
      </c>
      <c r="J18" t="str" cm="1">
        <f t="array" aca="1" ref="J18" ca="1">IF(OR(OFFSET(INDIRECT(ADDRESS(ROW(), COLUMN())), -1, 0) = "",  IFERROR(INDEX(Prévision!$C:$C, MATCH(J$1, Prévision!$B:$B, 0) + ROWS($1:17)), "") = 0), "", IFERROR(INDEX(Prévision!$C:$C, MATCH(J$1, Prévision!$B:$B, 0) + ROWS($1:17)), ""))</f>
        <v/>
      </c>
      <c r="K18" t="str" cm="1">
        <f t="array" aca="1" ref="K18" ca="1">IF(OR(OFFSET(INDIRECT(ADDRESS(ROW(), COLUMN())), -1, 0) = "",  IFERROR(INDEX(Prévision!$C:$C, MATCH(K$1, Prévision!$B:$B, 0) + ROWS($1:17)), "") = 0), "", IFERROR(INDEX(Prévision!$C:$C, MATCH(K$1, Prévision!$B:$B, 0) + ROWS($1:17)), ""))</f>
        <v/>
      </c>
      <c r="L18" t="str" cm="1">
        <f t="array" aca="1" ref="L18" ca="1">IF(OR(OFFSET(INDIRECT(ADDRESS(ROW(), COLUMN())), -1, 0) = "",  IFERROR(INDEX(Prévision!$C:$C, MATCH(L$1, Prévision!$B:$B, 0) + ROWS($1:17)), "") = 0), "", IFERROR(INDEX(Prévision!$C:$C, MATCH(L$1, Prévision!$B:$B, 0) + ROWS($1:17)), ""))</f>
        <v/>
      </c>
      <c r="M18" t="str" cm="1">
        <f t="array" aca="1" ref="M18" ca="1">IF(OR(OFFSET(INDIRECT(ADDRESS(ROW(), COLUMN())), -1, 0) = "",  IFERROR(INDEX(Prévision!$C:$C, MATCH(M$1, Prévision!$B:$B, 0) + ROWS($1:17)), "") = 0), "", IFERROR(INDEX(Prévision!$C:$C, MATCH(M$1, Prévision!$B:$B, 0) + ROWS($1:17)), ""))</f>
        <v/>
      </c>
      <c r="N18" t="str" cm="1">
        <f t="array" aca="1" ref="N18" ca="1">IF(OR(OFFSET(INDIRECT(ADDRESS(ROW(), COLUMN())), -1, 0) = "",  IFERROR(INDEX(Prévision!$C:$C, MATCH(N$1, Prévision!$B:$B, 0) + ROWS($1:17)), "") = 0), "", IFERROR(INDEX(Prévision!$C:$C, MATCH(N$1, Prévision!$B:$B, 0) + ROWS($1:17)), ""))</f>
        <v/>
      </c>
      <c r="O18" t="str" cm="1">
        <f t="array" aca="1" ref="O18" ca="1">IF(OR(OFFSET(INDIRECT(ADDRESS(ROW(), COLUMN())), -1, 0) = "",  IFERROR(INDEX(Prévision!$C:$C, MATCH(O$1, Prévision!$B:$B, 0) + ROWS($1:17)), "") = 0), "", IFERROR(INDEX(Prévision!$C:$C, MATCH(O$1, Prévision!$B:$B, 0) + ROWS($1:17)), ""))</f>
        <v/>
      </c>
      <c r="P18" t="str" cm="1">
        <f t="array" aca="1" ref="P18" ca="1">IF(OR(OFFSET(INDIRECT(ADDRESS(ROW(), COLUMN())), -1, 0) = "",  IFERROR(INDEX(Prévision!$C:$C, MATCH(P$1, Prévision!$B:$B, 0) + ROWS($1:17)), "") = 0), "", IFERROR(INDEX(Prévision!$C:$C, MATCH(P$1, Prévision!$B:$B, 0) + ROWS($1:17)), ""))</f>
        <v/>
      </c>
      <c r="Q18" t="str" cm="1">
        <f t="array" aca="1" ref="Q18" ca="1">IF(OR(OFFSET(INDIRECT(ADDRESS(ROW(), COLUMN())), -1, 0) = "",  IFERROR(INDEX(Prévision!$C:$C, MATCH(Q$1, Prévision!$B:$B, 0) + ROWS($1:17)), "") = 0), "", IFERROR(INDEX(Prévision!$C:$C, MATCH(Q$1, Prévision!$B:$B, 0) + ROWS($1:17)), ""))</f>
        <v/>
      </c>
      <c r="R18" t="str" cm="1">
        <f t="array" aca="1" ref="R18" ca="1">IF(OR(OFFSET(INDIRECT(ADDRESS(ROW(), COLUMN())), -1, 0) = "",  IFERROR(INDEX(Prévision!$C:$C, MATCH(R$1, Prévision!$B:$B, 0) + ROWS($1:17)), "") = 0), "", IFERROR(INDEX(Prévision!$C:$C, MATCH(R$1, Prévision!$B:$B, 0) + ROWS($1:17)), ""))</f>
        <v/>
      </c>
      <c r="S18" t="str" cm="1">
        <f t="array" aca="1" ref="S18" ca="1">IF(OR(OFFSET(INDIRECT(ADDRESS(ROW(), COLUMN())), -1, 0) = "",  IFERROR(INDEX(Prévision!$C:$C, MATCH(S$1, Prévision!$B:$B, 0) + ROWS($1:17)), "") = 0), "", IFERROR(INDEX(Prévision!$C:$C, MATCH(S$1, Prévision!$B:$B, 0) + ROWS($1:17)), ""))</f>
        <v/>
      </c>
      <c r="T18" t="str" cm="1">
        <f t="array" aca="1" ref="T18" ca="1">IF(OR(OFFSET(INDIRECT(ADDRESS(ROW(), COLUMN())), -1, 0) = "",  IFERROR(INDEX(Prévision!$C:$C, MATCH(T$1, Prévision!$B:$B, 0) + ROWS($1:17)), "") = 0), "", IFERROR(INDEX(Prévision!$C:$C, MATCH(T$1, Prévision!$B:$B, 0) + ROWS($1:17)), ""))</f>
        <v/>
      </c>
      <c r="U18" t="str" cm="1">
        <f t="array" aca="1" ref="U18" ca="1">IF(OR(OFFSET(INDIRECT(ADDRESS(ROW(), COLUMN())), -1, 0) = "",  IFERROR(INDEX(Prévision!$C:$C, MATCH(U$1, Prévision!$B:$B, 0) + ROWS($1:17)), "") = 0), "", IFERROR(INDEX(Prévision!$C:$C, MATCH(U$1, Prévision!$B:$B, 0) + ROWS($1:17)), ""))</f>
        <v/>
      </c>
      <c r="V18" t="str" cm="1">
        <f t="array" aca="1" ref="V18" ca="1">IF(OR(OFFSET(INDIRECT(ADDRESS(ROW(), COLUMN())), -1, 0) = "",  IFERROR(INDEX(Prévision!$C:$C, MATCH(V$1, Prévision!$B:$B, 0) + ROWS($1:17)), "") = 0), "", IFERROR(INDEX(Prévision!$C:$C, MATCH(V$1, Prévision!$B:$B, 0) + ROWS($1:17)), ""))</f>
        <v/>
      </c>
      <c r="W18" t="str" cm="1">
        <f t="array" aca="1" ref="W18" ca="1">IF(OR(OFFSET(INDIRECT(ADDRESS(ROW(), COLUMN())), -1, 0) = "",  IFERROR(INDEX(Prévision!$C:$C, MATCH(W$1, Prévision!$B:$B, 0) + ROWS($1:17)), "") = 0), "", IFERROR(INDEX(Prévision!$C:$C, MATCH(W$1, Prévision!$B:$B, 0) + ROWS($1:17)), ""))</f>
        <v/>
      </c>
      <c r="X18" t="str" cm="1">
        <f t="array" aca="1" ref="X18" ca="1">IF(OR(OFFSET(INDIRECT(ADDRESS(ROW(), COLUMN())), -1, 0) = "",  IFERROR(INDEX(Prévision!$C:$C, MATCH(X$1, Prévision!$B:$B, 0) + ROWS($1:17)), "") = 0), "", IFERROR(INDEX(Prévision!$C:$C, MATCH(X$1, Prévision!$B:$B, 0) + ROWS($1:17)), ""))</f>
        <v/>
      </c>
      <c r="Y18" t="str" cm="1">
        <f t="array" aca="1" ref="Y18" ca="1">IF(OR(OFFSET(INDIRECT(ADDRESS(ROW(), COLUMN())), -1, 0) = "",  IFERROR(INDEX(Prévision!$C:$C, MATCH(Y$1, Prévision!$B:$B, 0) + ROWS($1:17)), "") = 0), "", IFERROR(INDEX(Prévision!$C:$C, MATCH(Y$1, Prévision!$B:$B, 0) + ROWS($1:17)), ""))</f>
        <v/>
      </c>
      <c r="Z18" t="str" cm="1">
        <f t="array" aca="1" ref="Z18" ca="1">IF(OR(OFFSET(INDIRECT(ADDRESS(ROW(), COLUMN())), -1, 0) = "",  IFERROR(INDEX(Prévision!$C:$C, MATCH(Z$1, Prévision!$B:$B, 0) + ROWS($1:17)), "") = 0), "", IFERROR(INDEX(Prévision!$C:$C, MATCH(Z$1, Prévision!$B:$B, 0) + ROWS($1:17)), ""))</f>
        <v/>
      </c>
    </row>
    <row r="19" spans="1:26" x14ac:dyDescent="0.35">
      <c r="A19" t="str" cm="1">
        <f t="array" ref="A19">IFERROR(INDEX(Prévision!B:B, SMALL(IF(Prévision!B:B&lt;&gt;"", ROW(Prévision!B:B)), ROW(18:18))), "")</f>
        <v/>
      </c>
      <c r="C19" t="str" cm="1">
        <f t="array" aca="1" ref="C19" ca="1">IF(OR(OFFSET(INDIRECT(ADDRESS(ROW(), COLUMN())), -1, 0) = "",  IFERROR(INDEX(Prévision!$C:$C, MATCH(C$1, Prévision!$B:$B, 0) + ROWS($1:18)), "") = 0), "", IFERROR(INDEX(Prévision!$C:$C, MATCH(C$1, Prévision!$B:$B, 0) + ROWS($1:18)), ""))</f>
        <v/>
      </c>
      <c r="D19" t="str" cm="1">
        <f t="array" aca="1" ref="D19" ca="1">IF(OR(OFFSET(INDIRECT(ADDRESS(ROW(), COLUMN())), -1, 0) = "",  IFERROR(INDEX(Prévision!$C:$C, MATCH(D$1, Prévision!$B:$B, 0) + ROWS($1:18)), "") = 0), "", IFERROR(INDEX(Prévision!$C:$C, MATCH(D$1, Prévision!$B:$B, 0) + ROWS($1:18)), ""))</f>
        <v/>
      </c>
      <c r="E19" t="str" cm="1">
        <f t="array" aca="1" ref="E19" ca="1">IF(OR(OFFSET(INDIRECT(ADDRESS(ROW(), COLUMN())), -1, 0) = "",  IFERROR(INDEX(Prévision!$C:$C, MATCH(E$1, Prévision!$B:$B, 0) + ROWS($1:18)), "") = 0), "", IFERROR(INDEX(Prévision!$C:$C, MATCH(E$1, Prévision!$B:$B, 0) + ROWS($1:18)), ""))</f>
        <v/>
      </c>
      <c r="F19" t="str" cm="1">
        <f t="array" aca="1" ref="F19" ca="1">IF(OR(OFFSET(INDIRECT(ADDRESS(ROW(), COLUMN())), -1, 0) = "",  IFERROR(INDEX(Prévision!$C:$C, MATCH(F$1, Prévision!$B:$B, 0) + ROWS($1:18)), "") = 0), "", IFERROR(INDEX(Prévision!$C:$C, MATCH(F$1, Prévision!$B:$B, 0) + ROWS($1:18)), ""))</f>
        <v/>
      </c>
      <c r="G19" t="str" cm="1">
        <f t="array" aca="1" ref="G19" ca="1">IF(OR(OFFSET(INDIRECT(ADDRESS(ROW(), COLUMN())), -1, 0) = "",  IFERROR(INDEX(Prévision!$C:$C, MATCH(G$1, Prévision!$B:$B, 0) + ROWS($1:18)), "") = 0), "", IFERROR(INDEX(Prévision!$C:$C, MATCH(G$1, Prévision!$B:$B, 0) + ROWS($1:18)), ""))</f>
        <v/>
      </c>
      <c r="H19" t="str" cm="1">
        <f t="array" aca="1" ref="H19" ca="1">IF(OR(OFFSET(INDIRECT(ADDRESS(ROW(), COLUMN())), -1, 0) = "",  IFERROR(INDEX(Prévision!$C:$C, MATCH(H$1, Prévision!$B:$B, 0) + ROWS($1:18)), "") = 0), "", IFERROR(INDEX(Prévision!$C:$C, MATCH(H$1, Prévision!$B:$B, 0) + ROWS($1:18)), ""))</f>
        <v/>
      </c>
      <c r="I19" t="str" cm="1">
        <f t="array" aca="1" ref="I19" ca="1">IF(OR(OFFSET(INDIRECT(ADDRESS(ROW(), COLUMN())), -1, 0) = "",  IFERROR(INDEX(Prévision!$C:$C, MATCH(I$1, Prévision!$B:$B, 0) + ROWS($1:18)), "") = 0), "", IFERROR(INDEX(Prévision!$C:$C, MATCH(I$1, Prévision!$B:$B, 0) + ROWS($1:18)), ""))</f>
        <v/>
      </c>
      <c r="J19" t="str" cm="1">
        <f t="array" aca="1" ref="J19" ca="1">IF(OR(OFFSET(INDIRECT(ADDRESS(ROW(), COLUMN())), -1, 0) = "",  IFERROR(INDEX(Prévision!$C:$C, MATCH(J$1, Prévision!$B:$B, 0) + ROWS($1:18)), "") = 0), "", IFERROR(INDEX(Prévision!$C:$C, MATCH(J$1, Prévision!$B:$B, 0) + ROWS($1:18)), ""))</f>
        <v/>
      </c>
      <c r="K19" t="str" cm="1">
        <f t="array" aca="1" ref="K19" ca="1">IF(OR(OFFSET(INDIRECT(ADDRESS(ROW(), COLUMN())), -1, 0) = "",  IFERROR(INDEX(Prévision!$C:$C, MATCH(K$1, Prévision!$B:$B, 0) + ROWS($1:18)), "") = 0), "", IFERROR(INDEX(Prévision!$C:$C, MATCH(K$1, Prévision!$B:$B, 0) + ROWS($1:18)), ""))</f>
        <v/>
      </c>
      <c r="L19" t="str" cm="1">
        <f t="array" aca="1" ref="L19" ca="1">IF(OR(OFFSET(INDIRECT(ADDRESS(ROW(), COLUMN())), -1, 0) = "",  IFERROR(INDEX(Prévision!$C:$C, MATCH(L$1, Prévision!$B:$B, 0) + ROWS($1:18)), "") = 0), "", IFERROR(INDEX(Prévision!$C:$C, MATCH(L$1, Prévision!$B:$B, 0) + ROWS($1:18)), ""))</f>
        <v/>
      </c>
      <c r="M19" t="str" cm="1">
        <f t="array" aca="1" ref="M19" ca="1">IF(OR(OFFSET(INDIRECT(ADDRESS(ROW(), COLUMN())), -1, 0) = "",  IFERROR(INDEX(Prévision!$C:$C, MATCH(M$1, Prévision!$B:$B, 0) + ROWS($1:18)), "") = 0), "", IFERROR(INDEX(Prévision!$C:$C, MATCH(M$1, Prévision!$B:$B, 0) + ROWS($1:18)), ""))</f>
        <v/>
      </c>
      <c r="N19" t="str" cm="1">
        <f t="array" aca="1" ref="N19" ca="1">IF(OR(OFFSET(INDIRECT(ADDRESS(ROW(), COLUMN())), -1, 0) = "",  IFERROR(INDEX(Prévision!$C:$C, MATCH(N$1, Prévision!$B:$B, 0) + ROWS($1:18)), "") = 0), "", IFERROR(INDEX(Prévision!$C:$C, MATCH(N$1, Prévision!$B:$B, 0) + ROWS($1:18)), ""))</f>
        <v/>
      </c>
      <c r="O19" t="str" cm="1">
        <f t="array" aca="1" ref="O19" ca="1">IF(OR(OFFSET(INDIRECT(ADDRESS(ROW(), COLUMN())), -1, 0) = "",  IFERROR(INDEX(Prévision!$C:$C, MATCH(O$1, Prévision!$B:$B, 0) + ROWS($1:18)), "") = 0), "", IFERROR(INDEX(Prévision!$C:$C, MATCH(O$1, Prévision!$B:$B, 0) + ROWS($1:18)), ""))</f>
        <v/>
      </c>
      <c r="P19" t="str" cm="1">
        <f t="array" aca="1" ref="P19" ca="1">IF(OR(OFFSET(INDIRECT(ADDRESS(ROW(), COLUMN())), -1, 0) = "",  IFERROR(INDEX(Prévision!$C:$C, MATCH(P$1, Prévision!$B:$B, 0) + ROWS($1:18)), "") = 0), "", IFERROR(INDEX(Prévision!$C:$C, MATCH(P$1, Prévision!$B:$B, 0) + ROWS($1:18)), ""))</f>
        <v/>
      </c>
      <c r="Q19" t="str" cm="1">
        <f t="array" aca="1" ref="Q19" ca="1">IF(OR(OFFSET(INDIRECT(ADDRESS(ROW(), COLUMN())), -1, 0) = "",  IFERROR(INDEX(Prévision!$C:$C, MATCH(Q$1, Prévision!$B:$B, 0) + ROWS($1:18)), "") = 0), "", IFERROR(INDEX(Prévision!$C:$C, MATCH(Q$1, Prévision!$B:$B, 0) + ROWS($1:18)), ""))</f>
        <v/>
      </c>
      <c r="R19" t="str" cm="1">
        <f t="array" aca="1" ref="R19" ca="1">IF(OR(OFFSET(INDIRECT(ADDRESS(ROW(), COLUMN())), -1, 0) = "",  IFERROR(INDEX(Prévision!$C:$C, MATCH(R$1, Prévision!$B:$B, 0) + ROWS($1:18)), "") = 0), "", IFERROR(INDEX(Prévision!$C:$C, MATCH(R$1, Prévision!$B:$B, 0) + ROWS($1:18)), ""))</f>
        <v/>
      </c>
      <c r="S19" t="str" cm="1">
        <f t="array" aca="1" ref="S19" ca="1">IF(OR(OFFSET(INDIRECT(ADDRESS(ROW(), COLUMN())), -1, 0) = "",  IFERROR(INDEX(Prévision!$C:$C, MATCH(S$1, Prévision!$B:$B, 0) + ROWS($1:18)), "") = 0), "", IFERROR(INDEX(Prévision!$C:$C, MATCH(S$1, Prévision!$B:$B, 0) + ROWS($1:18)), ""))</f>
        <v/>
      </c>
      <c r="T19" t="str" cm="1">
        <f t="array" aca="1" ref="T19" ca="1">IF(OR(OFFSET(INDIRECT(ADDRESS(ROW(), COLUMN())), -1, 0) = "",  IFERROR(INDEX(Prévision!$C:$C, MATCH(T$1, Prévision!$B:$B, 0) + ROWS($1:18)), "") = 0), "", IFERROR(INDEX(Prévision!$C:$C, MATCH(T$1, Prévision!$B:$B, 0) + ROWS($1:18)), ""))</f>
        <v/>
      </c>
      <c r="U19" t="str" cm="1">
        <f t="array" aca="1" ref="U19" ca="1">IF(OR(OFFSET(INDIRECT(ADDRESS(ROW(), COLUMN())), -1, 0) = "",  IFERROR(INDEX(Prévision!$C:$C, MATCH(U$1, Prévision!$B:$B, 0) + ROWS($1:18)), "") = 0), "", IFERROR(INDEX(Prévision!$C:$C, MATCH(U$1, Prévision!$B:$B, 0) + ROWS($1:18)), ""))</f>
        <v/>
      </c>
      <c r="V19" t="str" cm="1">
        <f t="array" aca="1" ref="V19" ca="1">IF(OR(OFFSET(INDIRECT(ADDRESS(ROW(), COLUMN())), -1, 0) = "",  IFERROR(INDEX(Prévision!$C:$C, MATCH(V$1, Prévision!$B:$B, 0) + ROWS($1:18)), "") = 0), "", IFERROR(INDEX(Prévision!$C:$C, MATCH(V$1, Prévision!$B:$B, 0) + ROWS($1:18)), ""))</f>
        <v/>
      </c>
      <c r="W19" t="str" cm="1">
        <f t="array" aca="1" ref="W19" ca="1">IF(OR(OFFSET(INDIRECT(ADDRESS(ROW(), COLUMN())), -1, 0) = "",  IFERROR(INDEX(Prévision!$C:$C, MATCH(W$1, Prévision!$B:$B, 0) + ROWS($1:18)), "") = 0), "", IFERROR(INDEX(Prévision!$C:$C, MATCH(W$1, Prévision!$B:$B, 0) + ROWS($1:18)), ""))</f>
        <v/>
      </c>
      <c r="X19" t="str" cm="1">
        <f t="array" aca="1" ref="X19" ca="1">IF(OR(OFFSET(INDIRECT(ADDRESS(ROW(), COLUMN())), -1, 0) = "",  IFERROR(INDEX(Prévision!$C:$C, MATCH(X$1, Prévision!$B:$B, 0) + ROWS($1:18)), "") = 0), "", IFERROR(INDEX(Prévision!$C:$C, MATCH(X$1, Prévision!$B:$B, 0) + ROWS($1:18)), ""))</f>
        <v/>
      </c>
      <c r="Y19" t="str" cm="1">
        <f t="array" aca="1" ref="Y19" ca="1">IF(OR(OFFSET(INDIRECT(ADDRESS(ROW(), COLUMN())), -1, 0) = "",  IFERROR(INDEX(Prévision!$C:$C, MATCH(Y$1, Prévision!$B:$B, 0) + ROWS($1:18)), "") = 0), "", IFERROR(INDEX(Prévision!$C:$C, MATCH(Y$1, Prévision!$B:$B, 0) + ROWS($1:18)), ""))</f>
        <v/>
      </c>
      <c r="Z19" t="str" cm="1">
        <f t="array" aca="1" ref="Z19" ca="1">IF(OR(OFFSET(INDIRECT(ADDRESS(ROW(), COLUMN())), -1, 0) = "",  IFERROR(INDEX(Prévision!$C:$C, MATCH(Z$1, Prévision!$B:$B, 0) + ROWS($1:18)), "") = 0), "", IFERROR(INDEX(Prévision!$C:$C, MATCH(Z$1, Prévision!$B:$B, 0) + ROWS($1:18)), ""))</f>
        <v/>
      </c>
    </row>
    <row r="20" spans="1:26" x14ac:dyDescent="0.35">
      <c r="A20" t="str" cm="1">
        <f t="array" ref="A20">IFERROR(INDEX(Prévision!B:B, SMALL(IF(Prévision!B:B&lt;&gt;"", ROW(Prévision!B:B)), ROW(19:19))), "")</f>
        <v/>
      </c>
      <c r="C20" t="str" cm="1">
        <f t="array" aca="1" ref="C20" ca="1">IF(OR(OFFSET(INDIRECT(ADDRESS(ROW(), COLUMN())), -1, 0) = "",  IFERROR(INDEX(Prévision!$C:$C, MATCH(C$1, Prévision!$B:$B, 0) + ROWS($1:19)), "") = 0), "", IFERROR(INDEX(Prévision!$C:$C, MATCH(C$1, Prévision!$B:$B, 0) + ROWS($1:19)), ""))</f>
        <v/>
      </c>
      <c r="D20" t="str" cm="1">
        <f t="array" aca="1" ref="D20" ca="1">IF(OR(OFFSET(INDIRECT(ADDRESS(ROW(), COLUMN())), -1, 0) = "",  IFERROR(INDEX(Prévision!$C:$C, MATCH(D$1, Prévision!$B:$B, 0) + ROWS($1:19)), "") = 0), "", IFERROR(INDEX(Prévision!$C:$C, MATCH(D$1, Prévision!$B:$B, 0) + ROWS($1:19)), ""))</f>
        <v/>
      </c>
      <c r="E20" t="str" cm="1">
        <f t="array" aca="1" ref="E20" ca="1">IF(OR(OFFSET(INDIRECT(ADDRESS(ROW(), COLUMN())), -1, 0) = "",  IFERROR(INDEX(Prévision!$C:$C, MATCH(E$1, Prévision!$B:$B, 0) + ROWS($1:19)), "") = 0), "", IFERROR(INDEX(Prévision!$C:$C, MATCH(E$1, Prévision!$B:$B, 0) + ROWS($1:19)), ""))</f>
        <v/>
      </c>
      <c r="F20" t="str" cm="1">
        <f t="array" aca="1" ref="F20" ca="1">IF(OR(OFFSET(INDIRECT(ADDRESS(ROW(), COLUMN())), -1, 0) = "",  IFERROR(INDEX(Prévision!$C:$C, MATCH(F$1, Prévision!$B:$B, 0) + ROWS($1:19)), "") = 0), "", IFERROR(INDEX(Prévision!$C:$C, MATCH(F$1, Prévision!$B:$B, 0) + ROWS($1:19)), ""))</f>
        <v/>
      </c>
      <c r="G20" t="str" cm="1">
        <f t="array" aca="1" ref="G20" ca="1">IF(OR(OFFSET(INDIRECT(ADDRESS(ROW(), COLUMN())), -1, 0) = "",  IFERROR(INDEX(Prévision!$C:$C, MATCH(G$1, Prévision!$B:$B, 0) + ROWS($1:19)), "") = 0), "", IFERROR(INDEX(Prévision!$C:$C, MATCH(G$1, Prévision!$B:$B, 0) + ROWS($1:19)), ""))</f>
        <v/>
      </c>
      <c r="H20" t="str" cm="1">
        <f t="array" aca="1" ref="H20" ca="1">IF(OR(OFFSET(INDIRECT(ADDRESS(ROW(), COLUMN())), -1, 0) = "",  IFERROR(INDEX(Prévision!$C:$C, MATCH(H$1, Prévision!$B:$B, 0) + ROWS($1:19)), "") = 0), "", IFERROR(INDEX(Prévision!$C:$C, MATCH(H$1, Prévision!$B:$B, 0) + ROWS($1:19)), ""))</f>
        <v/>
      </c>
      <c r="I20" t="str" cm="1">
        <f t="array" aca="1" ref="I20" ca="1">IF(OR(OFFSET(INDIRECT(ADDRESS(ROW(), COLUMN())), -1, 0) = "",  IFERROR(INDEX(Prévision!$C:$C, MATCH(I$1, Prévision!$B:$B, 0) + ROWS($1:19)), "") = 0), "", IFERROR(INDEX(Prévision!$C:$C, MATCH(I$1, Prévision!$B:$B, 0) + ROWS($1:19)), ""))</f>
        <v/>
      </c>
      <c r="J20" t="str" cm="1">
        <f t="array" aca="1" ref="J20" ca="1">IF(OR(OFFSET(INDIRECT(ADDRESS(ROW(), COLUMN())), -1, 0) = "",  IFERROR(INDEX(Prévision!$C:$C, MATCH(J$1, Prévision!$B:$B, 0) + ROWS($1:19)), "") = 0), "", IFERROR(INDEX(Prévision!$C:$C, MATCH(J$1, Prévision!$B:$B, 0) + ROWS($1:19)), ""))</f>
        <v/>
      </c>
      <c r="K20" t="str" cm="1">
        <f t="array" aca="1" ref="K20" ca="1">IF(OR(OFFSET(INDIRECT(ADDRESS(ROW(), COLUMN())), -1, 0) = "",  IFERROR(INDEX(Prévision!$C:$C, MATCH(K$1, Prévision!$B:$B, 0) + ROWS($1:19)), "") = 0), "", IFERROR(INDEX(Prévision!$C:$C, MATCH(K$1, Prévision!$B:$B, 0) + ROWS($1:19)), ""))</f>
        <v/>
      </c>
      <c r="L20" t="str" cm="1">
        <f t="array" aca="1" ref="L20" ca="1">IF(OR(OFFSET(INDIRECT(ADDRESS(ROW(), COLUMN())), -1, 0) = "",  IFERROR(INDEX(Prévision!$C:$C, MATCH(L$1, Prévision!$B:$B, 0) + ROWS($1:19)), "") = 0), "", IFERROR(INDEX(Prévision!$C:$C, MATCH(L$1, Prévision!$B:$B, 0) + ROWS($1:19)), ""))</f>
        <v/>
      </c>
      <c r="M20" t="str" cm="1">
        <f t="array" aca="1" ref="M20" ca="1">IF(OR(OFFSET(INDIRECT(ADDRESS(ROW(), COLUMN())), -1, 0) = "",  IFERROR(INDEX(Prévision!$C:$C, MATCH(M$1, Prévision!$B:$B, 0) + ROWS($1:19)), "") = 0), "", IFERROR(INDEX(Prévision!$C:$C, MATCH(M$1, Prévision!$B:$B, 0) + ROWS($1:19)), ""))</f>
        <v/>
      </c>
      <c r="N20" t="str" cm="1">
        <f t="array" aca="1" ref="N20" ca="1">IF(OR(OFFSET(INDIRECT(ADDRESS(ROW(), COLUMN())), -1, 0) = "",  IFERROR(INDEX(Prévision!$C:$C, MATCH(N$1, Prévision!$B:$B, 0) + ROWS($1:19)), "") = 0), "", IFERROR(INDEX(Prévision!$C:$C, MATCH(N$1, Prévision!$B:$B, 0) + ROWS($1:19)), ""))</f>
        <v/>
      </c>
      <c r="O20" t="str" cm="1">
        <f t="array" aca="1" ref="O20" ca="1">IF(OR(OFFSET(INDIRECT(ADDRESS(ROW(), COLUMN())), -1, 0) = "",  IFERROR(INDEX(Prévision!$C:$C, MATCH(O$1, Prévision!$B:$B, 0) + ROWS($1:19)), "") = 0), "", IFERROR(INDEX(Prévision!$C:$C, MATCH(O$1, Prévision!$B:$B, 0) + ROWS($1:19)), ""))</f>
        <v/>
      </c>
      <c r="P20" t="str" cm="1">
        <f t="array" aca="1" ref="P20" ca="1">IF(OR(OFFSET(INDIRECT(ADDRESS(ROW(), COLUMN())), -1, 0) = "",  IFERROR(INDEX(Prévision!$C:$C, MATCH(P$1, Prévision!$B:$B, 0) + ROWS($1:19)), "") = 0), "", IFERROR(INDEX(Prévision!$C:$C, MATCH(P$1, Prévision!$B:$B, 0) + ROWS($1:19)), ""))</f>
        <v/>
      </c>
      <c r="Q20" t="str" cm="1">
        <f t="array" aca="1" ref="Q20" ca="1">IF(OR(OFFSET(INDIRECT(ADDRESS(ROW(), COLUMN())), -1, 0) = "",  IFERROR(INDEX(Prévision!$C:$C, MATCH(Q$1, Prévision!$B:$B, 0) + ROWS($1:19)), "") = 0), "", IFERROR(INDEX(Prévision!$C:$C, MATCH(Q$1, Prévision!$B:$B, 0) + ROWS($1:19)), ""))</f>
        <v/>
      </c>
      <c r="R20" t="str" cm="1">
        <f t="array" aca="1" ref="R20" ca="1">IF(OR(OFFSET(INDIRECT(ADDRESS(ROW(), COLUMN())), -1, 0) = "",  IFERROR(INDEX(Prévision!$C:$C, MATCH(R$1, Prévision!$B:$B, 0) + ROWS($1:19)), "") = 0), "", IFERROR(INDEX(Prévision!$C:$C, MATCH(R$1, Prévision!$B:$B, 0) + ROWS($1:19)), ""))</f>
        <v/>
      </c>
      <c r="S20" t="str" cm="1">
        <f t="array" aca="1" ref="S20" ca="1">IF(OR(OFFSET(INDIRECT(ADDRESS(ROW(), COLUMN())), -1, 0) = "",  IFERROR(INDEX(Prévision!$C:$C, MATCH(S$1, Prévision!$B:$B, 0) + ROWS($1:19)), "") = 0), "", IFERROR(INDEX(Prévision!$C:$C, MATCH(S$1, Prévision!$B:$B, 0) + ROWS($1:19)), ""))</f>
        <v/>
      </c>
      <c r="T20" t="str" cm="1">
        <f t="array" aca="1" ref="T20" ca="1">IF(OR(OFFSET(INDIRECT(ADDRESS(ROW(), COLUMN())), -1, 0) = "",  IFERROR(INDEX(Prévision!$C:$C, MATCH(T$1, Prévision!$B:$B, 0) + ROWS($1:19)), "") = 0), "", IFERROR(INDEX(Prévision!$C:$C, MATCH(T$1, Prévision!$B:$B, 0) + ROWS($1:19)), ""))</f>
        <v/>
      </c>
      <c r="U20" t="str" cm="1">
        <f t="array" aca="1" ref="U20" ca="1">IF(OR(OFFSET(INDIRECT(ADDRESS(ROW(), COLUMN())), -1, 0) = "",  IFERROR(INDEX(Prévision!$C:$C, MATCH(U$1, Prévision!$B:$B, 0) + ROWS($1:19)), "") = 0), "", IFERROR(INDEX(Prévision!$C:$C, MATCH(U$1, Prévision!$B:$B, 0) + ROWS($1:19)), ""))</f>
        <v/>
      </c>
      <c r="V20" t="str" cm="1">
        <f t="array" aca="1" ref="V20" ca="1">IF(OR(OFFSET(INDIRECT(ADDRESS(ROW(), COLUMN())), -1, 0) = "",  IFERROR(INDEX(Prévision!$C:$C, MATCH(V$1, Prévision!$B:$B, 0) + ROWS($1:19)), "") = 0), "", IFERROR(INDEX(Prévision!$C:$C, MATCH(V$1, Prévision!$B:$B, 0) + ROWS($1:19)), ""))</f>
        <v/>
      </c>
      <c r="W20" t="str" cm="1">
        <f t="array" aca="1" ref="W20" ca="1">IF(OR(OFFSET(INDIRECT(ADDRESS(ROW(), COLUMN())), -1, 0) = "",  IFERROR(INDEX(Prévision!$C:$C, MATCH(W$1, Prévision!$B:$B, 0) + ROWS($1:19)), "") = 0), "", IFERROR(INDEX(Prévision!$C:$C, MATCH(W$1, Prévision!$B:$B, 0) + ROWS($1:19)), ""))</f>
        <v/>
      </c>
      <c r="X20" t="str" cm="1">
        <f t="array" aca="1" ref="X20" ca="1">IF(OR(OFFSET(INDIRECT(ADDRESS(ROW(), COLUMN())), -1, 0) = "",  IFERROR(INDEX(Prévision!$C:$C, MATCH(X$1, Prévision!$B:$B, 0) + ROWS($1:19)), "") = 0), "", IFERROR(INDEX(Prévision!$C:$C, MATCH(X$1, Prévision!$B:$B, 0) + ROWS($1:19)), ""))</f>
        <v/>
      </c>
      <c r="Y20" t="str" cm="1">
        <f t="array" aca="1" ref="Y20" ca="1">IF(OR(OFFSET(INDIRECT(ADDRESS(ROW(), COLUMN())), -1, 0) = "",  IFERROR(INDEX(Prévision!$C:$C, MATCH(Y$1, Prévision!$B:$B, 0) + ROWS($1:19)), "") = 0), "", IFERROR(INDEX(Prévision!$C:$C, MATCH(Y$1, Prévision!$B:$B, 0) + ROWS($1:19)), ""))</f>
        <v/>
      </c>
      <c r="Z20" t="str" cm="1">
        <f t="array" aca="1" ref="Z20" ca="1">IF(OR(OFFSET(INDIRECT(ADDRESS(ROW(), COLUMN())), -1, 0) = "",  IFERROR(INDEX(Prévision!$C:$C, MATCH(Z$1, Prévision!$B:$B, 0) + ROWS($1:19)), "") = 0), "", IFERROR(INDEX(Prévision!$C:$C, MATCH(Z$1, Prévision!$B:$B, 0) + ROWS($1:19)), ""))</f>
        <v/>
      </c>
    </row>
    <row r="21" spans="1:26" x14ac:dyDescent="0.35">
      <c r="A21" t="str" cm="1">
        <f t="array" ref="A21">IFERROR(INDEX(Prévision!B:B, SMALL(IF(Prévision!B:B&lt;&gt;"", ROW(Prévision!B:B)), ROW(20:20))), "")</f>
        <v/>
      </c>
      <c r="C21" t="str" cm="1">
        <f t="array" aca="1" ref="C21" ca="1">IF(OR(OFFSET(INDIRECT(ADDRESS(ROW(), COLUMN())), -1, 0) = "",  IFERROR(INDEX(Prévision!$C:$C, MATCH(C$1, Prévision!$B:$B, 0) + ROWS($1:20)), "") = 0), "", IFERROR(INDEX(Prévision!$C:$C, MATCH(C$1, Prévision!$B:$B, 0) + ROWS($1:20)), ""))</f>
        <v/>
      </c>
      <c r="D21" t="str" cm="1">
        <f t="array" aca="1" ref="D21" ca="1">IF(OR(OFFSET(INDIRECT(ADDRESS(ROW(), COLUMN())), -1, 0) = "",  IFERROR(INDEX(Prévision!$C:$C, MATCH(D$1, Prévision!$B:$B, 0) + ROWS($1:20)), "") = 0), "", IFERROR(INDEX(Prévision!$C:$C, MATCH(D$1, Prévision!$B:$B, 0) + ROWS($1:20)), ""))</f>
        <v/>
      </c>
      <c r="E21" t="str" cm="1">
        <f t="array" aca="1" ref="E21" ca="1">IF(OR(OFFSET(INDIRECT(ADDRESS(ROW(), COLUMN())), -1, 0) = "",  IFERROR(INDEX(Prévision!$C:$C, MATCH(E$1, Prévision!$B:$B, 0) + ROWS($1:20)), "") = 0), "", IFERROR(INDEX(Prévision!$C:$C, MATCH(E$1, Prévision!$B:$B, 0) + ROWS($1:20)), ""))</f>
        <v/>
      </c>
      <c r="F21" t="str" cm="1">
        <f t="array" aca="1" ref="F21" ca="1">IF(OR(OFFSET(INDIRECT(ADDRESS(ROW(), COLUMN())), -1, 0) = "",  IFERROR(INDEX(Prévision!$C:$C, MATCH(F$1, Prévision!$B:$B, 0) + ROWS($1:20)), "") = 0), "", IFERROR(INDEX(Prévision!$C:$C, MATCH(F$1, Prévision!$B:$B, 0) + ROWS($1:20)), ""))</f>
        <v/>
      </c>
      <c r="G21" t="str" cm="1">
        <f t="array" aca="1" ref="G21" ca="1">IF(OR(OFFSET(INDIRECT(ADDRESS(ROW(), COLUMN())), -1, 0) = "",  IFERROR(INDEX(Prévision!$C:$C, MATCH(G$1, Prévision!$B:$B, 0) + ROWS($1:20)), "") = 0), "", IFERROR(INDEX(Prévision!$C:$C, MATCH(G$1, Prévision!$B:$B, 0) + ROWS($1:20)), ""))</f>
        <v/>
      </c>
      <c r="H21" t="str" cm="1">
        <f t="array" aca="1" ref="H21" ca="1">IF(OR(OFFSET(INDIRECT(ADDRESS(ROW(), COLUMN())), -1, 0) = "",  IFERROR(INDEX(Prévision!$C:$C, MATCH(H$1, Prévision!$B:$B, 0) + ROWS($1:20)), "") = 0), "", IFERROR(INDEX(Prévision!$C:$C, MATCH(H$1, Prévision!$B:$B, 0) + ROWS($1:20)), ""))</f>
        <v/>
      </c>
      <c r="I21" t="str" cm="1">
        <f t="array" aca="1" ref="I21" ca="1">IF(OR(OFFSET(INDIRECT(ADDRESS(ROW(), COLUMN())), -1, 0) = "",  IFERROR(INDEX(Prévision!$C:$C, MATCH(I$1, Prévision!$B:$B, 0) + ROWS($1:20)), "") = 0), "", IFERROR(INDEX(Prévision!$C:$C, MATCH(I$1, Prévision!$B:$B, 0) + ROWS($1:20)), ""))</f>
        <v/>
      </c>
      <c r="J21" t="str" cm="1">
        <f t="array" aca="1" ref="J21" ca="1">IF(OR(OFFSET(INDIRECT(ADDRESS(ROW(), COLUMN())), -1, 0) = "",  IFERROR(INDEX(Prévision!$C:$C, MATCH(J$1, Prévision!$B:$B, 0) + ROWS($1:20)), "") = 0), "", IFERROR(INDEX(Prévision!$C:$C, MATCH(J$1, Prévision!$B:$B, 0) + ROWS($1:20)), ""))</f>
        <v/>
      </c>
      <c r="K21" t="str" cm="1">
        <f t="array" aca="1" ref="K21" ca="1">IF(OR(OFFSET(INDIRECT(ADDRESS(ROW(), COLUMN())), -1, 0) = "",  IFERROR(INDEX(Prévision!$C:$C, MATCH(K$1, Prévision!$B:$B, 0) + ROWS($1:20)), "") = 0), "", IFERROR(INDEX(Prévision!$C:$C, MATCH(K$1, Prévision!$B:$B, 0) + ROWS($1:20)), ""))</f>
        <v/>
      </c>
      <c r="L21" t="str" cm="1">
        <f t="array" aca="1" ref="L21" ca="1">IF(OR(OFFSET(INDIRECT(ADDRESS(ROW(), COLUMN())), -1, 0) = "",  IFERROR(INDEX(Prévision!$C:$C, MATCH(L$1, Prévision!$B:$B, 0) + ROWS($1:20)), "") = 0), "", IFERROR(INDEX(Prévision!$C:$C, MATCH(L$1, Prévision!$B:$B, 0) + ROWS($1:20)), ""))</f>
        <v/>
      </c>
      <c r="M21" t="str" cm="1">
        <f t="array" aca="1" ref="M21" ca="1">IF(OR(OFFSET(INDIRECT(ADDRESS(ROW(), COLUMN())), -1, 0) = "",  IFERROR(INDEX(Prévision!$C:$C, MATCH(M$1, Prévision!$B:$B, 0) + ROWS($1:20)), "") = 0), "", IFERROR(INDEX(Prévision!$C:$C, MATCH(M$1, Prévision!$B:$B, 0) + ROWS($1:20)), ""))</f>
        <v/>
      </c>
      <c r="N21" t="str" cm="1">
        <f t="array" aca="1" ref="N21" ca="1">IF(OR(OFFSET(INDIRECT(ADDRESS(ROW(), COLUMN())), -1, 0) = "",  IFERROR(INDEX(Prévision!$C:$C, MATCH(N$1, Prévision!$B:$B, 0) + ROWS($1:20)), "") = 0), "", IFERROR(INDEX(Prévision!$C:$C, MATCH(N$1, Prévision!$B:$B, 0) + ROWS($1:20)), ""))</f>
        <v/>
      </c>
      <c r="O21" t="str" cm="1">
        <f t="array" aca="1" ref="O21" ca="1">IF(OR(OFFSET(INDIRECT(ADDRESS(ROW(), COLUMN())), -1, 0) = "",  IFERROR(INDEX(Prévision!$C:$C, MATCH(O$1, Prévision!$B:$B, 0) + ROWS($1:20)), "") = 0), "", IFERROR(INDEX(Prévision!$C:$C, MATCH(O$1, Prévision!$B:$B, 0) + ROWS($1:20)), ""))</f>
        <v/>
      </c>
      <c r="P21" t="str" cm="1">
        <f t="array" aca="1" ref="P21" ca="1">IF(OR(OFFSET(INDIRECT(ADDRESS(ROW(), COLUMN())), -1, 0) = "",  IFERROR(INDEX(Prévision!$C:$C, MATCH(P$1, Prévision!$B:$B, 0) + ROWS($1:20)), "") = 0), "", IFERROR(INDEX(Prévision!$C:$C, MATCH(P$1, Prévision!$B:$B, 0) + ROWS($1:20)), ""))</f>
        <v/>
      </c>
      <c r="Q21" t="str" cm="1">
        <f t="array" aca="1" ref="Q21" ca="1">IF(OR(OFFSET(INDIRECT(ADDRESS(ROW(), COLUMN())), -1, 0) = "",  IFERROR(INDEX(Prévision!$C:$C, MATCH(Q$1, Prévision!$B:$B, 0) + ROWS($1:20)), "") = 0), "", IFERROR(INDEX(Prévision!$C:$C, MATCH(Q$1, Prévision!$B:$B, 0) + ROWS($1:20)), ""))</f>
        <v/>
      </c>
      <c r="R21" t="str" cm="1">
        <f t="array" aca="1" ref="R21" ca="1">IF(OR(OFFSET(INDIRECT(ADDRESS(ROW(), COLUMN())), -1, 0) = "",  IFERROR(INDEX(Prévision!$C:$C, MATCH(R$1, Prévision!$B:$B, 0) + ROWS($1:20)), "") = 0), "", IFERROR(INDEX(Prévision!$C:$C, MATCH(R$1, Prévision!$B:$B, 0) + ROWS($1:20)), ""))</f>
        <v/>
      </c>
      <c r="S21" t="str" cm="1">
        <f t="array" aca="1" ref="S21" ca="1">IF(OR(OFFSET(INDIRECT(ADDRESS(ROW(), COLUMN())), -1, 0) = "",  IFERROR(INDEX(Prévision!$C:$C, MATCH(S$1, Prévision!$B:$B, 0) + ROWS($1:20)), "") = 0), "", IFERROR(INDEX(Prévision!$C:$C, MATCH(S$1, Prévision!$B:$B, 0) + ROWS($1:20)), ""))</f>
        <v/>
      </c>
      <c r="T21" t="str" cm="1">
        <f t="array" aca="1" ref="T21" ca="1">IF(OR(OFFSET(INDIRECT(ADDRESS(ROW(), COLUMN())), -1, 0) = "",  IFERROR(INDEX(Prévision!$C:$C, MATCH(T$1, Prévision!$B:$B, 0) + ROWS($1:20)), "") = 0), "", IFERROR(INDEX(Prévision!$C:$C, MATCH(T$1, Prévision!$B:$B, 0) + ROWS($1:20)), ""))</f>
        <v/>
      </c>
      <c r="U21" t="str" cm="1">
        <f t="array" aca="1" ref="U21" ca="1">IF(OR(OFFSET(INDIRECT(ADDRESS(ROW(), COLUMN())), -1, 0) = "",  IFERROR(INDEX(Prévision!$C:$C, MATCH(U$1, Prévision!$B:$B, 0) + ROWS($1:20)), "") = 0), "", IFERROR(INDEX(Prévision!$C:$C, MATCH(U$1, Prévision!$B:$B, 0) + ROWS($1:20)), ""))</f>
        <v/>
      </c>
      <c r="V21" t="str" cm="1">
        <f t="array" aca="1" ref="V21" ca="1">IF(OR(OFFSET(INDIRECT(ADDRESS(ROW(), COLUMN())), -1, 0) = "",  IFERROR(INDEX(Prévision!$C:$C, MATCH(V$1, Prévision!$B:$B, 0) + ROWS($1:20)), "") = 0), "", IFERROR(INDEX(Prévision!$C:$C, MATCH(V$1, Prévision!$B:$B, 0) + ROWS($1:20)), ""))</f>
        <v/>
      </c>
      <c r="W21" t="str" cm="1">
        <f t="array" aca="1" ref="W21" ca="1">IF(OR(OFFSET(INDIRECT(ADDRESS(ROW(), COLUMN())), -1, 0) = "",  IFERROR(INDEX(Prévision!$C:$C, MATCH(W$1, Prévision!$B:$B, 0) + ROWS($1:20)), "") = 0), "", IFERROR(INDEX(Prévision!$C:$C, MATCH(W$1, Prévision!$B:$B, 0) + ROWS($1:20)), ""))</f>
        <v/>
      </c>
      <c r="X21" t="str" cm="1">
        <f t="array" aca="1" ref="X21" ca="1">IF(OR(OFFSET(INDIRECT(ADDRESS(ROW(), COLUMN())), -1, 0) = "",  IFERROR(INDEX(Prévision!$C:$C, MATCH(X$1, Prévision!$B:$B, 0) + ROWS($1:20)), "") = 0), "", IFERROR(INDEX(Prévision!$C:$C, MATCH(X$1, Prévision!$B:$B, 0) + ROWS($1:20)), ""))</f>
        <v/>
      </c>
      <c r="Y21" t="str" cm="1">
        <f t="array" aca="1" ref="Y21" ca="1">IF(OR(OFFSET(INDIRECT(ADDRESS(ROW(), COLUMN())), -1, 0) = "",  IFERROR(INDEX(Prévision!$C:$C, MATCH(Y$1, Prévision!$B:$B, 0) + ROWS($1:20)), "") = 0), "", IFERROR(INDEX(Prévision!$C:$C, MATCH(Y$1, Prévision!$B:$B, 0) + ROWS($1:20)), ""))</f>
        <v/>
      </c>
      <c r="Z21" t="str" cm="1">
        <f t="array" aca="1" ref="Z21" ca="1">IF(OR(OFFSET(INDIRECT(ADDRESS(ROW(), COLUMN())), -1, 0) = "",  IFERROR(INDEX(Prévision!$C:$C, MATCH(Z$1, Prévision!$B:$B, 0) + ROWS($1:20)), "") = 0), "", IFERROR(INDEX(Prévision!$C:$C, MATCH(Z$1, Prévision!$B:$B, 0) + ROWS($1:20)), ""))</f>
        <v/>
      </c>
    </row>
    <row r="22" spans="1:26" x14ac:dyDescent="0.35">
      <c r="A22" t="str" cm="1">
        <f t="array" ref="A22">IFERROR(INDEX(Prévision!B:B, SMALL(IF(Prévision!B:B&lt;&gt;"", ROW(Prévision!B:B)), ROW(21:21))), "")</f>
        <v/>
      </c>
      <c r="C22" t="str" cm="1">
        <f t="array" aca="1" ref="C22" ca="1">IF(OR(OFFSET(INDIRECT(ADDRESS(ROW(), COLUMN())), -1, 0) = "",  IFERROR(INDEX(Prévision!$C:$C, MATCH(C$1, Prévision!$B:$B, 0) + ROWS($1:21)), "") = 0), "", IFERROR(INDEX(Prévision!$C:$C, MATCH(C$1, Prévision!$B:$B, 0) + ROWS($1:21)), ""))</f>
        <v/>
      </c>
      <c r="D22" t="str" cm="1">
        <f t="array" aca="1" ref="D22" ca="1">IF(OR(OFFSET(INDIRECT(ADDRESS(ROW(), COLUMN())), -1, 0) = "",  IFERROR(INDEX(Prévision!$C:$C, MATCH(D$1, Prévision!$B:$B, 0) + ROWS($1:21)), "") = 0), "", IFERROR(INDEX(Prévision!$C:$C, MATCH(D$1, Prévision!$B:$B, 0) + ROWS($1:21)), ""))</f>
        <v/>
      </c>
      <c r="E22" t="str" cm="1">
        <f t="array" aca="1" ref="E22" ca="1">IF(OR(OFFSET(INDIRECT(ADDRESS(ROW(), COLUMN())), -1, 0) = "",  IFERROR(INDEX(Prévision!$C:$C, MATCH(E$1, Prévision!$B:$B, 0) + ROWS($1:21)), "") = 0), "", IFERROR(INDEX(Prévision!$C:$C, MATCH(E$1, Prévision!$B:$B, 0) + ROWS($1:21)), ""))</f>
        <v/>
      </c>
      <c r="F22" t="str" cm="1">
        <f t="array" aca="1" ref="F22" ca="1">IF(OR(OFFSET(INDIRECT(ADDRESS(ROW(), COLUMN())), -1, 0) = "",  IFERROR(INDEX(Prévision!$C:$C, MATCH(F$1, Prévision!$B:$B, 0) + ROWS($1:21)), "") = 0), "", IFERROR(INDEX(Prévision!$C:$C, MATCH(F$1, Prévision!$B:$B, 0) + ROWS($1:21)), ""))</f>
        <v/>
      </c>
      <c r="G22" t="str" cm="1">
        <f t="array" aca="1" ref="G22" ca="1">IF(OR(OFFSET(INDIRECT(ADDRESS(ROW(), COLUMN())), -1, 0) = "",  IFERROR(INDEX(Prévision!$C:$C, MATCH(G$1, Prévision!$B:$B, 0) + ROWS($1:21)), "") = 0), "", IFERROR(INDEX(Prévision!$C:$C, MATCH(G$1, Prévision!$B:$B, 0) + ROWS($1:21)), ""))</f>
        <v/>
      </c>
      <c r="H22" t="str" cm="1">
        <f t="array" aca="1" ref="H22" ca="1">IF(OR(OFFSET(INDIRECT(ADDRESS(ROW(), COLUMN())), -1, 0) = "",  IFERROR(INDEX(Prévision!$C:$C, MATCH(H$1, Prévision!$B:$B, 0) + ROWS($1:21)), "") = 0), "", IFERROR(INDEX(Prévision!$C:$C, MATCH(H$1, Prévision!$B:$B, 0) + ROWS($1:21)), ""))</f>
        <v/>
      </c>
      <c r="I22" t="str" cm="1">
        <f t="array" aca="1" ref="I22" ca="1">IF(OR(OFFSET(INDIRECT(ADDRESS(ROW(), COLUMN())), -1, 0) = "",  IFERROR(INDEX(Prévision!$C:$C, MATCH(I$1, Prévision!$B:$B, 0) + ROWS($1:21)), "") = 0), "", IFERROR(INDEX(Prévision!$C:$C, MATCH(I$1, Prévision!$B:$B, 0) + ROWS($1:21)), ""))</f>
        <v/>
      </c>
      <c r="J22" t="str" cm="1">
        <f t="array" aca="1" ref="J22" ca="1">IF(OR(OFFSET(INDIRECT(ADDRESS(ROW(), COLUMN())), -1, 0) = "",  IFERROR(INDEX(Prévision!$C:$C, MATCH(J$1, Prévision!$B:$B, 0) + ROWS($1:21)), "") = 0), "", IFERROR(INDEX(Prévision!$C:$C, MATCH(J$1, Prévision!$B:$B, 0) + ROWS($1:21)), ""))</f>
        <v/>
      </c>
      <c r="K22" t="str" cm="1">
        <f t="array" aca="1" ref="K22" ca="1">IF(OR(OFFSET(INDIRECT(ADDRESS(ROW(), COLUMN())), -1, 0) = "",  IFERROR(INDEX(Prévision!$C:$C, MATCH(K$1, Prévision!$B:$B, 0) + ROWS($1:21)), "") = 0), "", IFERROR(INDEX(Prévision!$C:$C, MATCH(K$1, Prévision!$B:$B, 0) + ROWS($1:21)), ""))</f>
        <v/>
      </c>
      <c r="L22" t="str" cm="1">
        <f t="array" aca="1" ref="L22" ca="1">IF(OR(OFFSET(INDIRECT(ADDRESS(ROW(), COLUMN())), -1, 0) = "",  IFERROR(INDEX(Prévision!$C:$C, MATCH(L$1, Prévision!$B:$B, 0) + ROWS($1:21)), "") = 0), "", IFERROR(INDEX(Prévision!$C:$C, MATCH(L$1, Prévision!$B:$B, 0) + ROWS($1:21)), ""))</f>
        <v/>
      </c>
      <c r="M22" t="str" cm="1">
        <f t="array" aca="1" ref="M22" ca="1">IF(OR(OFFSET(INDIRECT(ADDRESS(ROW(), COLUMN())), -1, 0) = "",  IFERROR(INDEX(Prévision!$C:$C, MATCH(M$1, Prévision!$B:$B, 0) + ROWS($1:21)), "") = 0), "", IFERROR(INDEX(Prévision!$C:$C, MATCH(M$1, Prévision!$B:$B, 0) + ROWS($1:21)), ""))</f>
        <v/>
      </c>
      <c r="N22" t="str" cm="1">
        <f t="array" aca="1" ref="N22" ca="1">IF(OR(OFFSET(INDIRECT(ADDRESS(ROW(), COLUMN())), -1, 0) = "",  IFERROR(INDEX(Prévision!$C:$C, MATCH(N$1, Prévision!$B:$B, 0) + ROWS($1:21)), "") = 0), "", IFERROR(INDEX(Prévision!$C:$C, MATCH(N$1, Prévision!$B:$B, 0) + ROWS($1:21)), ""))</f>
        <v/>
      </c>
      <c r="O22" t="str" cm="1">
        <f t="array" aca="1" ref="O22" ca="1">IF(OR(OFFSET(INDIRECT(ADDRESS(ROW(), COLUMN())), -1, 0) = "",  IFERROR(INDEX(Prévision!$C:$C, MATCH(O$1, Prévision!$B:$B, 0) + ROWS($1:21)), "") = 0), "", IFERROR(INDEX(Prévision!$C:$C, MATCH(O$1, Prévision!$B:$B, 0) + ROWS($1:21)), ""))</f>
        <v/>
      </c>
      <c r="P22" t="str" cm="1">
        <f t="array" aca="1" ref="P22" ca="1">IF(OR(OFFSET(INDIRECT(ADDRESS(ROW(), COLUMN())), -1, 0) = "",  IFERROR(INDEX(Prévision!$C:$C, MATCH(P$1, Prévision!$B:$B, 0) + ROWS($1:21)), "") = 0), "", IFERROR(INDEX(Prévision!$C:$C, MATCH(P$1, Prévision!$B:$B, 0) + ROWS($1:21)), ""))</f>
        <v/>
      </c>
      <c r="Q22" t="str" cm="1">
        <f t="array" aca="1" ref="Q22" ca="1">IF(OR(OFFSET(INDIRECT(ADDRESS(ROW(), COLUMN())), -1, 0) = "",  IFERROR(INDEX(Prévision!$C:$C, MATCH(Q$1, Prévision!$B:$B, 0) + ROWS($1:21)), "") = 0), "", IFERROR(INDEX(Prévision!$C:$C, MATCH(Q$1, Prévision!$B:$B, 0) + ROWS($1:21)), ""))</f>
        <v/>
      </c>
      <c r="R22" t="str" cm="1">
        <f t="array" aca="1" ref="R22" ca="1">IF(OR(OFFSET(INDIRECT(ADDRESS(ROW(), COLUMN())), -1, 0) = "",  IFERROR(INDEX(Prévision!$C:$C, MATCH(R$1, Prévision!$B:$B, 0) + ROWS($1:21)), "") = 0), "", IFERROR(INDEX(Prévision!$C:$C, MATCH(R$1, Prévision!$B:$B, 0) + ROWS($1:21)), ""))</f>
        <v/>
      </c>
      <c r="S22" t="str" cm="1">
        <f t="array" aca="1" ref="S22" ca="1">IF(OR(OFFSET(INDIRECT(ADDRESS(ROW(), COLUMN())), -1, 0) = "",  IFERROR(INDEX(Prévision!$C:$C, MATCH(S$1, Prévision!$B:$B, 0) + ROWS($1:21)), "") = 0), "", IFERROR(INDEX(Prévision!$C:$C, MATCH(S$1, Prévision!$B:$B, 0) + ROWS($1:21)), ""))</f>
        <v/>
      </c>
      <c r="T22" t="str" cm="1">
        <f t="array" aca="1" ref="T22" ca="1">IF(OR(OFFSET(INDIRECT(ADDRESS(ROW(), COLUMN())), -1, 0) = "",  IFERROR(INDEX(Prévision!$C:$C, MATCH(T$1, Prévision!$B:$B, 0) + ROWS($1:21)), "") = 0), "", IFERROR(INDEX(Prévision!$C:$C, MATCH(T$1, Prévision!$B:$B, 0) + ROWS($1:21)), ""))</f>
        <v/>
      </c>
      <c r="U22" t="str" cm="1">
        <f t="array" aca="1" ref="U22" ca="1">IF(OR(OFFSET(INDIRECT(ADDRESS(ROW(), COLUMN())), -1, 0) = "",  IFERROR(INDEX(Prévision!$C:$C, MATCH(U$1, Prévision!$B:$B, 0) + ROWS($1:21)), "") = 0), "", IFERROR(INDEX(Prévision!$C:$C, MATCH(U$1, Prévision!$B:$B, 0) + ROWS($1:21)), ""))</f>
        <v/>
      </c>
      <c r="V22" t="str" cm="1">
        <f t="array" aca="1" ref="V22" ca="1">IF(OR(OFFSET(INDIRECT(ADDRESS(ROW(), COLUMN())), -1, 0) = "",  IFERROR(INDEX(Prévision!$C:$C, MATCH(V$1, Prévision!$B:$B, 0) + ROWS($1:21)), "") = 0), "", IFERROR(INDEX(Prévision!$C:$C, MATCH(V$1, Prévision!$B:$B, 0) + ROWS($1:21)), ""))</f>
        <v/>
      </c>
      <c r="W22" t="str" cm="1">
        <f t="array" aca="1" ref="W22" ca="1">IF(OR(OFFSET(INDIRECT(ADDRESS(ROW(), COLUMN())), -1, 0) = "",  IFERROR(INDEX(Prévision!$C:$C, MATCH(W$1, Prévision!$B:$B, 0) + ROWS($1:21)), "") = 0), "", IFERROR(INDEX(Prévision!$C:$C, MATCH(W$1, Prévision!$B:$B, 0) + ROWS($1:21)), ""))</f>
        <v/>
      </c>
      <c r="X22" t="str" cm="1">
        <f t="array" aca="1" ref="X22" ca="1">IF(OR(OFFSET(INDIRECT(ADDRESS(ROW(), COLUMN())), -1, 0) = "",  IFERROR(INDEX(Prévision!$C:$C, MATCH(X$1, Prévision!$B:$B, 0) + ROWS($1:21)), "") = 0), "", IFERROR(INDEX(Prévision!$C:$C, MATCH(X$1, Prévision!$B:$B, 0) + ROWS($1:21)), ""))</f>
        <v/>
      </c>
      <c r="Y22" t="str" cm="1">
        <f t="array" aca="1" ref="Y22" ca="1">IF(OR(OFFSET(INDIRECT(ADDRESS(ROW(), COLUMN())), -1, 0) = "",  IFERROR(INDEX(Prévision!$C:$C, MATCH(Y$1, Prévision!$B:$B, 0) + ROWS($1:21)), "") = 0), "", IFERROR(INDEX(Prévision!$C:$C, MATCH(Y$1, Prévision!$B:$B, 0) + ROWS($1:21)), ""))</f>
        <v/>
      </c>
      <c r="Z22" t="str" cm="1">
        <f t="array" aca="1" ref="Z22" ca="1">IF(OR(OFFSET(INDIRECT(ADDRESS(ROW(), COLUMN())), -1, 0) = "",  IFERROR(INDEX(Prévision!$C:$C, MATCH(Z$1, Prévision!$B:$B, 0) + ROWS($1:21)), "") = 0), "", IFERROR(INDEX(Prévision!$C:$C, MATCH(Z$1, Prévision!$B:$B, 0) + ROWS($1:21)), ""))</f>
        <v/>
      </c>
    </row>
    <row r="23" spans="1:26" x14ac:dyDescent="0.35">
      <c r="A23" t="str" cm="1">
        <f t="array" ref="A23">IFERROR(INDEX(Prévision!B:B, SMALL(IF(Prévision!B:B&lt;&gt;"", ROW(Prévision!B:B)), ROW(22:22))), "")</f>
        <v/>
      </c>
      <c r="C23" t="str" cm="1">
        <f t="array" aca="1" ref="C23" ca="1">IF(OR(OFFSET(INDIRECT(ADDRESS(ROW(), COLUMN())), -1, 0) = "",  IFERROR(INDEX(Prévision!$C:$C, MATCH(C$1, Prévision!$B:$B, 0) + ROWS($1:22)), "") = 0), "", IFERROR(INDEX(Prévision!$C:$C, MATCH(C$1, Prévision!$B:$B, 0) + ROWS($1:22)), ""))</f>
        <v/>
      </c>
      <c r="D23" t="str" cm="1">
        <f t="array" aca="1" ref="D23" ca="1">IF(OR(OFFSET(INDIRECT(ADDRESS(ROW(), COLUMN())), -1, 0) = "",  IFERROR(INDEX(Prévision!$C:$C, MATCH(D$1, Prévision!$B:$B, 0) + ROWS($1:22)), "") = 0), "", IFERROR(INDEX(Prévision!$C:$C, MATCH(D$1, Prévision!$B:$B, 0) + ROWS($1:22)), ""))</f>
        <v/>
      </c>
      <c r="E23" t="str" cm="1">
        <f t="array" aca="1" ref="E23" ca="1">IF(OR(OFFSET(INDIRECT(ADDRESS(ROW(), COLUMN())), -1, 0) = "",  IFERROR(INDEX(Prévision!$C:$C, MATCH(E$1, Prévision!$B:$B, 0) + ROWS($1:22)), "") = 0), "", IFERROR(INDEX(Prévision!$C:$C, MATCH(E$1, Prévision!$B:$B, 0) + ROWS($1:22)), ""))</f>
        <v/>
      </c>
      <c r="F23" t="str" cm="1">
        <f t="array" aca="1" ref="F23" ca="1">IF(OR(OFFSET(INDIRECT(ADDRESS(ROW(), COLUMN())), -1, 0) = "",  IFERROR(INDEX(Prévision!$C:$C, MATCH(F$1, Prévision!$B:$B, 0) + ROWS($1:22)), "") = 0), "", IFERROR(INDEX(Prévision!$C:$C, MATCH(F$1, Prévision!$B:$B, 0) + ROWS($1:22)), ""))</f>
        <v/>
      </c>
      <c r="G23" t="str" cm="1">
        <f t="array" aca="1" ref="G23" ca="1">IF(OR(OFFSET(INDIRECT(ADDRESS(ROW(), COLUMN())), -1, 0) = "",  IFERROR(INDEX(Prévision!$C:$C, MATCH(G$1, Prévision!$B:$B, 0) + ROWS($1:22)), "") = 0), "", IFERROR(INDEX(Prévision!$C:$C, MATCH(G$1, Prévision!$B:$B, 0) + ROWS($1:22)), ""))</f>
        <v/>
      </c>
      <c r="H23" t="str" cm="1">
        <f t="array" aca="1" ref="H23" ca="1">IF(OR(OFFSET(INDIRECT(ADDRESS(ROW(), COLUMN())), -1, 0) = "",  IFERROR(INDEX(Prévision!$C:$C, MATCH(H$1, Prévision!$B:$B, 0) + ROWS($1:22)), "") = 0), "", IFERROR(INDEX(Prévision!$C:$C, MATCH(H$1, Prévision!$B:$B, 0) + ROWS($1:22)), ""))</f>
        <v/>
      </c>
      <c r="I23" t="str" cm="1">
        <f t="array" aca="1" ref="I23" ca="1">IF(OR(OFFSET(INDIRECT(ADDRESS(ROW(), COLUMN())), -1, 0) = "",  IFERROR(INDEX(Prévision!$C:$C, MATCH(I$1, Prévision!$B:$B, 0) + ROWS($1:22)), "") = 0), "", IFERROR(INDEX(Prévision!$C:$C, MATCH(I$1, Prévision!$B:$B, 0) + ROWS($1:22)), ""))</f>
        <v/>
      </c>
      <c r="J23" t="str" cm="1">
        <f t="array" aca="1" ref="J23" ca="1">IF(OR(OFFSET(INDIRECT(ADDRESS(ROW(), COLUMN())), -1, 0) = "",  IFERROR(INDEX(Prévision!$C:$C, MATCH(J$1, Prévision!$B:$B, 0) + ROWS($1:22)), "") = 0), "", IFERROR(INDEX(Prévision!$C:$C, MATCH(J$1, Prévision!$B:$B, 0) + ROWS($1:22)), ""))</f>
        <v/>
      </c>
      <c r="K23" t="str" cm="1">
        <f t="array" aca="1" ref="K23" ca="1">IF(OR(OFFSET(INDIRECT(ADDRESS(ROW(), COLUMN())), -1, 0) = "",  IFERROR(INDEX(Prévision!$C:$C, MATCH(K$1, Prévision!$B:$B, 0) + ROWS($1:22)), "") = 0), "", IFERROR(INDEX(Prévision!$C:$C, MATCH(K$1, Prévision!$B:$B, 0) + ROWS($1:22)), ""))</f>
        <v/>
      </c>
      <c r="L23" t="str" cm="1">
        <f t="array" aca="1" ref="L23" ca="1">IF(OR(OFFSET(INDIRECT(ADDRESS(ROW(), COLUMN())), -1, 0) = "",  IFERROR(INDEX(Prévision!$C:$C, MATCH(L$1, Prévision!$B:$B, 0) + ROWS($1:22)), "") = 0), "", IFERROR(INDEX(Prévision!$C:$C, MATCH(L$1, Prévision!$B:$B, 0) + ROWS($1:22)), ""))</f>
        <v/>
      </c>
      <c r="M23" t="str" cm="1">
        <f t="array" aca="1" ref="M23" ca="1">IF(OR(OFFSET(INDIRECT(ADDRESS(ROW(), COLUMN())), -1, 0) = "",  IFERROR(INDEX(Prévision!$C:$C, MATCH(M$1, Prévision!$B:$B, 0) + ROWS($1:22)), "") = 0), "", IFERROR(INDEX(Prévision!$C:$C, MATCH(M$1, Prévision!$B:$B, 0) + ROWS($1:22)), ""))</f>
        <v/>
      </c>
      <c r="N23" t="str" cm="1">
        <f t="array" aca="1" ref="N23" ca="1">IF(OR(OFFSET(INDIRECT(ADDRESS(ROW(), COLUMN())), -1, 0) = "",  IFERROR(INDEX(Prévision!$C:$C, MATCH(N$1, Prévision!$B:$B, 0) + ROWS($1:22)), "") = 0), "", IFERROR(INDEX(Prévision!$C:$C, MATCH(N$1, Prévision!$B:$B, 0) + ROWS($1:22)), ""))</f>
        <v/>
      </c>
      <c r="O23" t="str" cm="1">
        <f t="array" aca="1" ref="O23" ca="1">IF(OR(OFFSET(INDIRECT(ADDRESS(ROW(), COLUMN())), -1, 0) = "",  IFERROR(INDEX(Prévision!$C:$C, MATCH(O$1, Prévision!$B:$B, 0) + ROWS($1:22)), "") = 0), "", IFERROR(INDEX(Prévision!$C:$C, MATCH(O$1, Prévision!$B:$B, 0) + ROWS($1:22)), ""))</f>
        <v/>
      </c>
      <c r="P23" t="str" cm="1">
        <f t="array" aca="1" ref="P23" ca="1">IF(OR(OFFSET(INDIRECT(ADDRESS(ROW(), COLUMN())), -1, 0) = "",  IFERROR(INDEX(Prévision!$C:$C, MATCH(P$1, Prévision!$B:$B, 0) + ROWS($1:22)), "") = 0), "", IFERROR(INDEX(Prévision!$C:$C, MATCH(P$1, Prévision!$B:$B, 0) + ROWS($1:22)), ""))</f>
        <v/>
      </c>
      <c r="Q23" t="str" cm="1">
        <f t="array" aca="1" ref="Q23" ca="1">IF(OR(OFFSET(INDIRECT(ADDRESS(ROW(), COLUMN())), -1, 0) = "",  IFERROR(INDEX(Prévision!$C:$C, MATCH(Q$1, Prévision!$B:$B, 0) + ROWS($1:22)), "") = 0), "", IFERROR(INDEX(Prévision!$C:$C, MATCH(Q$1, Prévision!$B:$B, 0) + ROWS($1:22)), ""))</f>
        <v/>
      </c>
      <c r="R23" t="str" cm="1">
        <f t="array" aca="1" ref="R23" ca="1">IF(OR(OFFSET(INDIRECT(ADDRESS(ROW(), COLUMN())), -1, 0) = "",  IFERROR(INDEX(Prévision!$C:$C, MATCH(R$1, Prévision!$B:$B, 0) + ROWS($1:22)), "") = 0), "", IFERROR(INDEX(Prévision!$C:$C, MATCH(R$1, Prévision!$B:$B, 0) + ROWS($1:22)), ""))</f>
        <v/>
      </c>
      <c r="S23" t="str" cm="1">
        <f t="array" aca="1" ref="S23" ca="1">IF(OR(OFFSET(INDIRECT(ADDRESS(ROW(), COLUMN())), -1, 0) = "",  IFERROR(INDEX(Prévision!$C:$C, MATCH(S$1, Prévision!$B:$B, 0) + ROWS($1:22)), "") = 0), "", IFERROR(INDEX(Prévision!$C:$C, MATCH(S$1, Prévision!$B:$B, 0) + ROWS($1:22)), ""))</f>
        <v/>
      </c>
      <c r="T23" t="str" cm="1">
        <f t="array" aca="1" ref="T23" ca="1">IF(OR(OFFSET(INDIRECT(ADDRESS(ROW(), COLUMN())), -1, 0) = "",  IFERROR(INDEX(Prévision!$C:$C, MATCH(T$1, Prévision!$B:$B, 0) + ROWS($1:22)), "") = 0), "", IFERROR(INDEX(Prévision!$C:$C, MATCH(T$1, Prévision!$B:$B, 0) + ROWS($1:22)), ""))</f>
        <v/>
      </c>
      <c r="U23" t="str" cm="1">
        <f t="array" aca="1" ref="U23" ca="1">IF(OR(OFFSET(INDIRECT(ADDRESS(ROW(), COLUMN())), -1, 0) = "",  IFERROR(INDEX(Prévision!$C:$C, MATCH(U$1, Prévision!$B:$B, 0) + ROWS($1:22)), "") = 0), "", IFERROR(INDEX(Prévision!$C:$C, MATCH(U$1, Prévision!$B:$B, 0) + ROWS($1:22)), ""))</f>
        <v/>
      </c>
      <c r="V23" t="str" cm="1">
        <f t="array" aca="1" ref="V23" ca="1">IF(OR(OFFSET(INDIRECT(ADDRESS(ROW(), COLUMN())), -1, 0) = "",  IFERROR(INDEX(Prévision!$C:$C, MATCH(V$1, Prévision!$B:$B, 0) + ROWS($1:22)), "") = 0), "", IFERROR(INDEX(Prévision!$C:$C, MATCH(V$1, Prévision!$B:$B, 0) + ROWS($1:22)), ""))</f>
        <v/>
      </c>
      <c r="W23" t="str" cm="1">
        <f t="array" aca="1" ref="W23" ca="1">IF(OR(OFFSET(INDIRECT(ADDRESS(ROW(), COLUMN())), -1, 0) = "",  IFERROR(INDEX(Prévision!$C:$C, MATCH(W$1, Prévision!$B:$B, 0) + ROWS($1:22)), "") = 0), "", IFERROR(INDEX(Prévision!$C:$C, MATCH(W$1, Prévision!$B:$B, 0) + ROWS($1:22)), ""))</f>
        <v/>
      </c>
      <c r="X23" t="str" cm="1">
        <f t="array" aca="1" ref="X23" ca="1">IF(OR(OFFSET(INDIRECT(ADDRESS(ROW(), COLUMN())), -1, 0) = "",  IFERROR(INDEX(Prévision!$C:$C, MATCH(X$1, Prévision!$B:$B, 0) + ROWS($1:22)), "") = 0), "", IFERROR(INDEX(Prévision!$C:$C, MATCH(X$1, Prévision!$B:$B, 0) + ROWS($1:22)), ""))</f>
        <v/>
      </c>
      <c r="Y23" t="str" cm="1">
        <f t="array" aca="1" ref="Y23" ca="1">IF(OR(OFFSET(INDIRECT(ADDRESS(ROW(), COLUMN())), -1, 0) = "",  IFERROR(INDEX(Prévision!$C:$C, MATCH(Y$1, Prévision!$B:$B, 0) + ROWS($1:22)), "") = 0), "", IFERROR(INDEX(Prévision!$C:$C, MATCH(Y$1, Prévision!$B:$B, 0) + ROWS($1:22)), ""))</f>
        <v/>
      </c>
      <c r="Z23" t="str" cm="1">
        <f t="array" aca="1" ref="Z23" ca="1">IF(OR(OFFSET(INDIRECT(ADDRESS(ROW(), COLUMN())), -1, 0) = "",  IFERROR(INDEX(Prévision!$C:$C, MATCH(Z$1, Prévision!$B:$B, 0) + ROWS($1:22)), "") = 0), "", IFERROR(INDEX(Prévision!$C:$C, MATCH(Z$1, Prévision!$B:$B, 0) + ROWS($1:22)), ""))</f>
        <v/>
      </c>
    </row>
    <row r="24" spans="1:26" x14ac:dyDescent="0.35">
      <c r="A24" t="str" cm="1">
        <f t="array" ref="A24">IFERROR(INDEX(Prévision!B:B, SMALL(IF(Prévision!B:B&lt;&gt;"", ROW(Prévision!B:B)), ROW(23:23))), "")</f>
        <v/>
      </c>
      <c r="C24" t="str" cm="1">
        <f t="array" aca="1" ref="C24" ca="1">IF(OR(OFFSET(INDIRECT(ADDRESS(ROW(), COLUMN())), -1, 0) = "",  IFERROR(INDEX(Prévision!$C:$C, MATCH(C$1, Prévision!$B:$B, 0) + ROWS($1:23)), "") = 0), "", IFERROR(INDEX(Prévision!$C:$C, MATCH(C$1, Prévision!$B:$B, 0) + ROWS($1:23)), ""))</f>
        <v/>
      </c>
      <c r="D24" t="str" cm="1">
        <f t="array" aca="1" ref="D24" ca="1">IF(OR(OFFSET(INDIRECT(ADDRESS(ROW(), COLUMN())), -1, 0) = "",  IFERROR(INDEX(Prévision!$C:$C, MATCH(D$1, Prévision!$B:$B, 0) + ROWS($1:23)), "") = 0), "", IFERROR(INDEX(Prévision!$C:$C, MATCH(D$1, Prévision!$B:$B, 0) + ROWS($1:23)), ""))</f>
        <v/>
      </c>
      <c r="E24" t="str" cm="1">
        <f t="array" aca="1" ref="E24" ca="1">IF(OR(OFFSET(INDIRECT(ADDRESS(ROW(), COLUMN())), -1, 0) = "",  IFERROR(INDEX(Prévision!$C:$C, MATCH(E$1, Prévision!$B:$B, 0) + ROWS($1:23)), "") = 0), "", IFERROR(INDEX(Prévision!$C:$C, MATCH(E$1, Prévision!$B:$B, 0) + ROWS($1:23)), ""))</f>
        <v/>
      </c>
      <c r="F24" t="str" cm="1">
        <f t="array" aca="1" ref="F24" ca="1">IF(OR(OFFSET(INDIRECT(ADDRESS(ROW(), COLUMN())), -1, 0) = "",  IFERROR(INDEX(Prévision!$C:$C, MATCH(F$1, Prévision!$B:$B, 0) + ROWS($1:23)), "") = 0), "", IFERROR(INDEX(Prévision!$C:$C, MATCH(F$1, Prévision!$B:$B, 0) + ROWS($1:23)), ""))</f>
        <v/>
      </c>
      <c r="G24" t="str" cm="1">
        <f t="array" aca="1" ref="G24" ca="1">IF(OR(OFFSET(INDIRECT(ADDRESS(ROW(), COLUMN())), -1, 0) = "",  IFERROR(INDEX(Prévision!$C:$C, MATCH(G$1, Prévision!$B:$B, 0) + ROWS($1:23)), "") = 0), "", IFERROR(INDEX(Prévision!$C:$C, MATCH(G$1, Prévision!$B:$B, 0) + ROWS($1:23)), ""))</f>
        <v/>
      </c>
      <c r="H24" t="str" cm="1">
        <f t="array" aca="1" ref="H24" ca="1">IF(OR(OFFSET(INDIRECT(ADDRESS(ROW(), COLUMN())), -1, 0) = "",  IFERROR(INDEX(Prévision!$C:$C, MATCH(H$1, Prévision!$B:$B, 0) + ROWS($1:23)), "") = 0), "", IFERROR(INDEX(Prévision!$C:$C, MATCH(H$1, Prévision!$B:$B, 0) + ROWS($1:23)), ""))</f>
        <v/>
      </c>
      <c r="I24" t="str" cm="1">
        <f t="array" aca="1" ref="I24" ca="1">IF(OR(OFFSET(INDIRECT(ADDRESS(ROW(), COLUMN())), -1, 0) = "",  IFERROR(INDEX(Prévision!$C:$C, MATCH(I$1, Prévision!$B:$B, 0) + ROWS($1:23)), "") = 0), "", IFERROR(INDEX(Prévision!$C:$C, MATCH(I$1, Prévision!$B:$B, 0) + ROWS($1:23)), ""))</f>
        <v/>
      </c>
      <c r="J24" t="str" cm="1">
        <f t="array" aca="1" ref="J24" ca="1">IF(OR(OFFSET(INDIRECT(ADDRESS(ROW(), COLUMN())), -1, 0) = "",  IFERROR(INDEX(Prévision!$C:$C, MATCH(J$1, Prévision!$B:$B, 0) + ROWS($1:23)), "") = 0), "", IFERROR(INDEX(Prévision!$C:$C, MATCH(J$1, Prévision!$B:$B, 0) + ROWS($1:23)), ""))</f>
        <v/>
      </c>
      <c r="K24" t="str" cm="1">
        <f t="array" aca="1" ref="K24" ca="1">IF(OR(OFFSET(INDIRECT(ADDRESS(ROW(), COLUMN())), -1, 0) = "",  IFERROR(INDEX(Prévision!$C:$C, MATCH(K$1, Prévision!$B:$B, 0) + ROWS($1:23)), "") = 0), "", IFERROR(INDEX(Prévision!$C:$C, MATCH(K$1, Prévision!$B:$B, 0) + ROWS($1:23)), ""))</f>
        <v/>
      </c>
      <c r="L24" t="str" cm="1">
        <f t="array" aca="1" ref="L24" ca="1">IF(OR(OFFSET(INDIRECT(ADDRESS(ROW(), COLUMN())), -1, 0) = "",  IFERROR(INDEX(Prévision!$C:$C, MATCH(L$1, Prévision!$B:$B, 0) + ROWS($1:23)), "") = 0), "", IFERROR(INDEX(Prévision!$C:$C, MATCH(L$1, Prévision!$B:$B, 0) + ROWS($1:23)), ""))</f>
        <v/>
      </c>
      <c r="M24" t="str" cm="1">
        <f t="array" aca="1" ref="M24" ca="1">IF(OR(OFFSET(INDIRECT(ADDRESS(ROW(), COLUMN())), -1, 0) = "",  IFERROR(INDEX(Prévision!$C:$C, MATCH(M$1, Prévision!$B:$B, 0) + ROWS($1:23)), "") = 0), "", IFERROR(INDEX(Prévision!$C:$C, MATCH(M$1, Prévision!$B:$B, 0) + ROWS($1:23)), ""))</f>
        <v/>
      </c>
      <c r="N24" t="str" cm="1">
        <f t="array" aca="1" ref="N24" ca="1">IF(OR(OFFSET(INDIRECT(ADDRESS(ROW(), COLUMN())), -1, 0) = "",  IFERROR(INDEX(Prévision!$C:$C, MATCH(N$1, Prévision!$B:$B, 0) + ROWS($1:23)), "") = 0), "", IFERROR(INDEX(Prévision!$C:$C, MATCH(N$1, Prévision!$B:$B, 0) + ROWS($1:23)), ""))</f>
        <v/>
      </c>
      <c r="O24" t="str" cm="1">
        <f t="array" aca="1" ref="O24" ca="1">IF(OR(OFFSET(INDIRECT(ADDRESS(ROW(), COLUMN())), -1, 0) = "",  IFERROR(INDEX(Prévision!$C:$C, MATCH(O$1, Prévision!$B:$B, 0) + ROWS($1:23)), "") = 0), "", IFERROR(INDEX(Prévision!$C:$C, MATCH(O$1, Prévision!$B:$B, 0) + ROWS($1:23)), ""))</f>
        <v/>
      </c>
      <c r="P24" t="str" cm="1">
        <f t="array" aca="1" ref="P24" ca="1">IF(OR(OFFSET(INDIRECT(ADDRESS(ROW(), COLUMN())), -1, 0) = "",  IFERROR(INDEX(Prévision!$C:$C, MATCH(P$1, Prévision!$B:$B, 0) + ROWS($1:23)), "") = 0), "", IFERROR(INDEX(Prévision!$C:$C, MATCH(P$1, Prévision!$B:$B, 0) + ROWS($1:23)), ""))</f>
        <v/>
      </c>
      <c r="Q24" t="str" cm="1">
        <f t="array" aca="1" ref="Q24" ca="1">IF(OR(OFFSET(INDIRECT(ADDRESS(ROW(), COLUMN())), -1, 0) = "",  IFERROR(INDEX(Prévision!$C:$C, MATCH(Q$1, Prévision!$B:$B, 0) + ROWS($1:23)), "") = 0), "", IFERROR(INDEX(Prévision!$C:$C, MATCH(Q$1, Prévision!$B:$B, 0) + ROWS($1:23)), ""))</f>
        <v/>
      </c>
      <c r="R24" t="str" cm="1">
        <f t="array" aca="1" ref="R24" ca="1">IF(OR(OFFSET(INDIRECT(ADDRESS(ROW(), COLUMN())), -1, 0) = "",  IFERROR(INDEX(Prévision!$C:$C, MATCH(R$1, Prévision!$B:$B, 0) + ROWS($1:23)), "") = 0), "", IFERROR(INDEX(Prévision!$C:$C, MATCH(R$1, Prévision!$B:$B, 0) + ROWS($1:23)), ""))</f>
        <v/>
      </c>
      <c r="S24" t="str" cm="1">
        <f t="array" aca="1" ref="S24" ca="1">IF(OR(OFFSET(INDIRECT(ADDRESS(ROW(), COLUMN())), -1, 0) = "",  IFERROR(INDEX(Prévision!$C:$C, MATCH(S$1, Prévision!$B:$B, 0) + ROWS($1:23)), "") = 0), "", IFERROR(INDEX(Prévision!$C:$C, MATCH(S$1, Prévision!$B:$B, 0) + ROWS($1:23)), ""))</f>
        <v/>
      </c>
      <c r="T24" t="str" cm="1">
        <f t="array" aca="1" ref="T24" ca="1">IF(OR(OFFSET(INDIRECT(ADDRESS(ROW(), COLUMN())), -1, 0) = "",  IFERROR(INDEX(Prévision!$C:$C, MATCH(T$1, Prévision!$B:$B, 0) + ROWS($1:23)), "") = 0), "", IFERROR(INDEX(Prévision!$C:$C, MATCH(T$1, Prévision!$B:$B, 0) + ROWS($1:23)), ""))</f>
        <v/>
      </c>
      <c r="U24" t="str" cm="1">
        <f t="array" aca="1" ref="U24" ca="1">IF(OR(OFFSET(INDIRECT(ADDRESS(ROW(), COLUMN())), -1, 0) = "",  IFERROR(INDEX(Prévision!$C:$C, MATCH(U$1, Prévision!$B:$B, 0) + ROWS($1:23)), "") = 0), "", IFERROR(INDEX(Prévision!$C:$C, MATCH(U$1, Prévision!$B:$B, 0) + ROWS($1:23)), ""))</f>
        <v/>
      </c>
      <c r="V24" t="str" cm="1">
        <f t="array" aca="1" ref="V24" ca="1">IF(OR(OFFSET(INDIRECT(ADDRESS(ROW(), COLUMN())), -1, 0) = "",  IFERROR(INDEX(Prévision!$C:$C, MATCH(V$1, Prévision!$B:$B, 0) + ROWS($1:23)), "") = 0), "", IFERROR(INDEX(Prévision!$C:$C, MATCH(V$1, Prévision!$B:$B, 0) + ROWS($1:23)), ""))</f>
        <v/>
      </c>
      <c r="W24" t="str" cm="1">
        <f t="array" aca="1" ref="W24" ca="1">IF(OR(OFFSET(INDIRECT(ADDRESS(ROW(), COLUMN())), -1, 0) = "",  IFERROR(INDEX(Prévision!$C:$C, MATCH(W$1, Prévision!$B:$B, 0) + ROWS($1:23)), "") = 0), "", IFERROR(INDEX(Prévision!$C:$C, MATCH(W$1, Prévision!$B:$B, 0) + ROWS($1:23)), ""))</f>
        <v/>
      </c>
      <c r="X24" t="str" cm="1">
        <f t="array" aca="1" ref="X24" ca="1">IF(OR(OFFSET(INDIRECT(ADDRESS(ROW(), COLUMN())), -1, 0) = "",  IFERROR(INDEX(Prévision!$C:$C, MATCH(X$1, Prévision!$B:$B, 0) + ROWS($1:23)), "") = 0), "", IFERROR(INDEX(Prévision!$C:$C, MATCH(X$1, Prévision!$B:$B, 0) + ROWS($1:23)), ""))</f>
        <v/>
      </c>
      <c r="Y24" t="str" cm="1">
        <f t="array" aca="1" ref="Y24" ca="1">IF(OR(OFFSET(INDIRECT(ADDRESS(ROW(), COLUMN())), -1, 0) = "",  IFERROR(INDEX(Prévision!$C:$C, MATCH(Y$1, Prévision!$B:$B, 0) + ROWS($1:23)), "") = 0), "", IFERROR(INDEX(Prévision!$C:$C, MATCH(Y$1, Prévision!$B:$B, 0) + ROWS($1:23)), ""))</f>
        <v/>
      </c>
      <c r="Z24" t="str" cm="1">
        <f t="array" aca="1" ref="Z24" ca="1">IF(OR(OFFSET(INDIRECT(ADDRESS(ROW(), COLUMN())), -1, 0) = "",  IFERROR(INDEX(Prévision!$C:$C, MATCH(Z$1, Prévision!$B:$B, 0) + ROWS($1:23)), "") = 0), "", IFERROR(INDEX(Prévision!$C:$C, MATCH(Z$1, Prévision!$B:$B, 0) + ROWS($1:23)), ""))</f>
        <v/>
      </c>
    </row>
    <row r="25" spans="1:26" x14ac:dyDescent="0.35">
      <c r="A25" t="str" cm="1">
        <f t="array" ref="A25">IFERROR(INDEX(Prévision!B:B, SMALL(IF(Prévision!B:B&lt;&gt;"", ROW(Prévision!B:B)), ROW(24:24))), "")</f>
        <v/>
      </c>
      <c r="C25" t="str" cm="1">
        <f t="array" aca="1" ref="C25" ca="1">IF(OR(OFFSET(INDIRECT(ADDRESS(ROW(), COLUMN())), -1, 0) = "",  IFERROR(INDEX(Prévision!$C:$C, MATCH(C$1, Prévision!$B:$B, 0) + ROWS($1:24)), "") = 0), "", IFERROR(INDEX(Prévision!$C:$C, MATCH(C$1, Prévision!$B:$B, 0) + ROWS($1:24)), ""))</f>
        <v/>
      </c>
      <c r="D25" t="str" cm="1">
        <f t="array" aca="1" ref="D25" ca="1">IF(OR(OFFSET(INDIRECT(ADDRESS(ROW(), COLUMN())), -1, 0) = "",  IFERROR(INDEX(Prévision!$C:$C, MATCH(D$1, Prévision!$B:$B, 0) + ROWS($1:24)), "") = 0), "", IFERROR(INDEX(Prévision!$C:$C, MATCH(D$1, Prévision!$B:$B, 0) + ROWS($1:24)), ""))</f>
        <v/>
      </c>
      <c r="E25" t="str" cm="1">
        <f t="array" aca="1" ref="E25" ca="1">IF(OR(OFFSET(INDIRECT(ADDRESS(ROW(), COLUMN())), -1, 0) = "",  IFERROR(INDEX(Prévision!$C:$C, MATCH(E$1, Prévision!$B:$B, 0) + ROWS($1:24)), "") = 0), "", IFERROR(INDEX(Prévision!$C:$C, MATCH(E$1, Prévision!$B:$B, 0) + ROWS($1:24)), ""))</f>
        <v/>
      </c>
      <c r="F25" t="str" cm="1">
        <f t="array" aca="1" ref="F25" ca="1">IF(OR(OFFSET(INDIRECT(ADDRESS(ROW(), COLUMN())), -1, 0) = "",  IFERROR(INDEX(Prévision!$C:$C, MATCH(F$1, Prévision!$B:$B, 0) + ROWS($1:24)), "") = 0), "", IFERROR(INDEX(Prévision!$C:$C, MATCH(F$1, Prévision!$B:$B, 0) + ROWS($1:24)), ""))</f>
        <v/>
      </c>
      <c r="G25" t="str" cm="1">
        <f t="array" aca="1" ref="G25" ca="1">IF(OR(OFFSET(INDIRECT(ADDRESS(ROW(), COLUMN())), -1, 0) = "",  IFERROR(INDEX(Prévision!$C:$C, MATCH(G$1, Prévision!$B:$B, 0) + ROWS($1:24)), "") = 0), "", IFERROR(INDEX(Prévision!$C:$C, MATCH(G$1, Prévision!$B:$B, 0) + ROWS($1:24)), ""))</f>
        <v/>
      </c>
      <c r="H25" t="str" cm="1">
        <f t="array" aca="1" ref="H25" ca="1">IF(OR(OFFSET(INDIRECT(ADDRESS(ROW(), COLUMN())), -1, 0) = "",  IFERROR(INDEX(Prévision!$C:$C, MATCH(H$1, Prévision!$B:$B, 0) + ROWS($1:24)), "") = 0), "", IFERROR(INDEX(Prévision!$C:$C, MATCH(H$1, Prévision!$B:$B, 0) + ROWS($1:24)), ""))</f>
        <v/>
      </c>
      <c r="I25" t="str" cm="1">
        <f t="array" aca="1" ref="I25" ca="1">IF(OR(OFFSET(INDIRECT(ADDRESS(ROW(), COLUMN())), -1, 0) = "",  IFERROR(INDEX(Prévision!$C:$C, MATCH(I$1, Prévision!$B:$B, 0) + ROWS($1:24)), "") = 0), "", IFERROR(INDEX(Prévision!$C:$C, MATCH(I$1, Prévision!$B:$B, 0) + ROWS($1:24)), ""))</f>
        <v/>
      </c>
      <c r="J25" t="str" cm="1">
        <f t="array" aca="1" ref="J25" ca="1">IF(OR(OFFSET(INDIRECT(ADDRESS(ROW(), COLUMN())), -1, 0) = "",  IFERROR(INDEX(Prévision!$C:$C, MATCH(J$1, Prévision!$B:$B, 0) + ROWS($1:24)), "") = 0), "", IFERROR(INDEX(Prévision!$C:$C, MATCH(J$1, Prévision!$B:$B, 0) + ROWS($1:24)), ""))</f>
        <v/>
      </c>
      <c r="K25" t="str" cm="1">
        <f t="array" aca="1" ref="K25" ca="1">IF(OR(OFFSET(INDIRECT(ADDRESS(ROW(), COLUMN())), -1, 0) = "",  IFERROR(INDEX(Prévision!$C:$C, MATCH(K$1, Prévision!$B:$B, 0) + ROWS($1:24)), "") = 0), "", IFERROR(INDEX(Prévision!$C:$C, MATCH(K$1, Prévision!$B:$B, 0) + ROWS($1:24)), ""))</f>
        <v/>
      </c>
      <c r="L25" t="str" cm="1">
        <f t="array" aca="1" ref="L25" ca="1">IF(OR(OFFSET(INDIRECT(ADDRESS(ROW(), COLUMN())), -1, 0) = "",  IFERROR(INDEX(Prévision!$C:$C, MATCH(L$1, Prévision!$B:$B, 0) + ROWS($1:24)), "") = 0), "", IFERROR(INDEX(Prévision!$C:$C, MATCH(L$1, Prévision!$B:$B, 0) + ROWS($1:24)), ""))</f>
        <v/>
      </c>
      <c r="M25" t="str" cm="1">
        <f t="array" aca="1" ref="M25" ca="1">IF(OR(OFFSET(INDIRECT(ADDRESS(ROW(), COLUMN())), -1, 0) = "",  IFERROR(INDEX(Prévision!$C:$C, MATCH(M$1, Prévision!$B:$B, 0) + ROWS($1:24)), "") = 0), "", IFERROR(INDEX(Prévision!$C:$C, MATCH(M$1, Prévision!$B:$B, 0) + ROWS($1:24)), ""))</f>
        <v/>
      </c>
      <c r="N25" t="str" cm="1">
        <f t="array" aca="1" ref="N25" ca="1">IF(OR(OFFSET(INDIRECT(ADDRESS(ROW(), COLUMN())), -1, 0) = "",  IFERROR(INDEX(Prévision!$C:$C, MATCH(N$1, Prévision!$B:$B, 0) + ROWS($1:24)), "") = 0), "", IFERROR(INDEX(Prévision!$C:$C, MATCH(N$1, Prévision!$B:$B, 0) + ROWS($1:24)), ""))</f>
        <v/>
      </c>
      <c r="O25" t="str" cm="1">
        <f t="array" aca="1" ref="O25" ca="1">IF(OR(OFFSET(INDIRECT(ADDRESS(ROW(), COLUMN())), -1, 0) = "",  IFERROR(INDEX(Prévision!$C:$C, MATCH(O$1, Prévision!$B:$B, 0) + ROWS($1:24)), "") = 0), "", IFERROR(INDEX(Prévision!$C:$C, MATCH(O$1, Prévision!$B:$B, 0) + ROWS($1:24)), ""))</f>
        <v/>
      </c>
      <c r="P25" t="str" cm="1">
        <f t="array" aca="1" ref="P25" ca="1">IF(OR(OFFSET(INDIRECT(ADDRESS(ROW(), COLUMN())), -1, 0) = "",  IFERROR(INDEX(Prévision!$C:$C, MATCH(P$1, Prévision!$B:$B, 0) + ROWS($1:24)), "") = 0), "", IFERROR(INDEX(Prévision!$C:$C, MATCH(P$1, Prévision!$B:$B, 0) + ROWS($1:24)), ""))</f>
        <v/>
      </c>
      <c r="Q25" t="str" cm="1">
        <f t="array" aca="1" ref="Q25" ca="1">IF(OR(OFFSET(INDIRECT(ADDRESS(ROW(), COLUMN())), -1, 0) = "",  IFERROR(INDEX(Prévision!$C:$C, MATCH(Q$1, Prévision!$B:$B, 0) + ROWS($1:24)), "") = 0), "", IFERROR(INDEX(Prévision!$C:$C, MATCH(Q$1, Prévision!$B:$B, 0) + ROWS($1:24)), ""))</f>
        <v/>
      </c>
      <c r="R25" t="str" cm="1">
        <f t="array" aca="1" ref="R25" ca="1">IF(OR(OFFSET(INDIRECT(ADDRESS(ROW(), COLUMN())), -1, 0) = "",  IFERROR(INDEX(Prévision!$C:$C, MATCH(R$1, Prévision!$B:$B, 0) + ROWS($1:24)), "") = 0), "", IFERROR(INDEX(Prévision!$C:$C, MATCH(R$1, Prévision!$B:$B, 0) + ROWS($1:24)), ""))</f>
        <v/>
      </c>
      <c r="S25" t="str" cm="1">
        <f t="array" aca="1" ref="S25" ca="1">IF(OR(OFFSET(INDIRECT(ADDRESS(ROW(), COLUMN())), -1, 0) = "",  IFERROR(INDEX(Prévision!$C:$C, MATCH(S$1, Prévision!$B:$B, 0) + ROWS($1:24)), "") = 0), "", IFERROR(INDEX(Prévision!$C:$C, MATCH(S$1, Prévision!$B:$B, 0) + ROWS($1:24)), ""))</f>
        <v/>
      </c>
      <c r="T25" t="str" cm="1">
        <f t="array" aca="1" ref="T25" ca="1">IF(OR(OFFSET(INDIRECT(ADDRESS(ROW(), COLUMN())), -1, 0) = "",  IFERROR(INDEX(Prévision!$C:$C, MATCH(T$1, Prévision!$B:$B, 0) + ROWS($1:24)), "") = 0), "", IFERROR(INDEX(Prévision!$C:$C, MATCH(T$1, Prévision!$B:$B, 0) + ROWS($1:24)), ""))</f>
        <v/>
      </c>
      <c r="U25" t="str" cm="1">
        <f t="array" aca="1" ref="U25" ca="1">IF(OR(OFFSET(INDIRECT(ADDRESS(ROW(), COLUMN())), -1, 0) = "",  IFERROR(INDEX(Prévision!$C:$C, MATCH(U$1, Prévision!$B:$B, 0) + ROWS($1:24)), "") = 0), "", IFERROR(INDEX(Prévision!$C:$C, MATCH(U$1, Prévision!$B:$B, 0) + ROWS($1:24)), ""))</f>
        <v/>
      </c>
      <c r="V25" t="str" cm="1">
        <f t="array" aca="1" ref="V25" ca="1">IF(OR(OFFSET(INDIRECT(ADDRESS(ROW(), COLUMN())), -1, 0) = "",  IFERROR(INDEX(Prévision!$C:$C, MATCH(V$1, Prévision!$B:$B, 0) + ROWS($1:24)), "") = 0), "", IFERROR(INDEX(Prévision!$C:$C, MATCH(V$1, Prévision!$B:$B, 0) + ROWS($1:24)), ""))</f>
        <v/>
      </c>
      <c r="W25" t="str" cm="1">
        <f t="array" aca="1" ref="W25" ca="1">IF(OR(OFFSET(INDIRECT(ADDRESS(ROW(), COLUMN())), -1, 0) = "",  IFERROR(INDEX(Prévision!$C:$C, MATCH(W$1, Prévision!$B:$B, 0) + ROWS($1:24)), "") = 0), "", IFERROR(INDEX(Prévision!$C:$C, MATCH(W$1, Prévision!$B:$B, 0) + ROWS($1:24)), ""))</f>
        <v/>
      </c>
      <c r="X25" t="str" cm="1">
        <f t="array" aca="1" ref="X25" ca="1">IF(OR(OFFSET(INDIRECT(ADDRESS(ROW(), COLUMN())), -1, 0) = "",  IFERROR(INDEX(Prévision!$C:$C, MATCH(X$1, Prévision!$B:$B, 0) + ROWS($1:24)), "") = 0), "", IFERROR(INDEX(Prévision!$C:$C, MATCH(X$1, Prévision!$B:$B, 0) + ROWS($1:24)), ""))</f>
        <v/>
      </c>
      <c r="Y25" t="str" cm="1">
        <f t="array" aca="1" ref="Y25" ca="1">IF(OR(OFFSET(INDIRECT(ADDRESS(ROW(), COLUMN())), -1, 0) = "",  IFERROR(INDEX(Prévision!$C:$C, MATCH(Y$1, Prévision!$B:$B, 0) + ROWS($1:24)), "") = 0), "", IFERROR(INDEX(Prévision!$C:$C, MATCH(Y$1, Prévision!$B:$B, 0) + ROWS($1:24)), ""))</f>
        <v/>
      </c>
      <c r="Z25" t="str" cm="1">
        <f t="array" aca="1" ref="Z25" ca="1">IF(OR(OFFSET(INDIRECT(ADDRESS(ROW(), COLUMN())), -1, 0) = "",  IFERROR(INDEX(Prévision!$C:$C, MATCH(Z$1, Prévision!$B:$B, 0) + ROWS($1:24)), "") = 0), "", IFERROR(INDEX(Prévision!$C:$C, MATCH(Z$1, Prévision!$B:$B, 0) + ROWS($1:24)), ""))</f>
        <v/>
      </c>
    </row>
    <row r="26" spans="1:26" ht="15" thickBot="1" x14ac:dyDescent="0.4"/>
    <row r="27" spans="1:26" ht="15" thickBot="1" x14ac:dyDescent="0.4">
      <c r="A27" s="32" t="s">
        <v>115</v>
      </c>
      <c r="E27" s="82" t="s">
        <v>116</v>
      </c>
      <c r="F27" s="83">
        <v>1</v>
      </c>
    </row>
    <row r="28" spans="1:26" x14ac:dyDescent="0.35">
      <c r="A28" s="31" t="str" cm="1">
        <f t="array" ref="A28">IFERROR(INDEX('Bilan des comptes'!C:C, SMALL(IF('Bilan des comptes'!C:C&lt;&gt;"", ROW('Bilan des comptes'!C:C)), ROW(1:1))), "")</f>
        <v>Compte GÉGI</v>
      </c>
    </row>
    <row r="29" spans="1:26" x14ac:dyDescent="0.35">
      <c r="A29" s="31" t="str" cm="1">
        <f t="array" ref="A29">IFERROR(INDEX('Bilan des comptes'!C:C, SMALL(IF('Bilan des comptes'!C:C&lt;&gt;"", ROW('Bilan des comptes'!C:C)), ROW(2:2))), "")</f>
        <v>Compte IEEE</v>
      </c>
    </row>
    <row r="30" spans="1:26" x14ac:dyDescent="0.35">
      <c r="A30" s="31" t="str" cm="1">
        <f t="array" ref="A30">IFERROR(INDEX('Bilan des comptes'!C:C, SMALL(IF('Bilan des comptes'!C:C&lt;&gt;"", ROW('Bilan des comptes'!C:C)), ROW(3:3))), "")</f>
        <v>Fonds de sécurité</v>
      </c>
    </row>
    <row r="31" spans="1:26" x14ac:dyDescent="0.35">
      <c r="A31" s="31" t="str" cm="1">
        <f t="array" ref="A31">IFERROR(INDEX('Bilan des comptes'!C:C, SMALL(IF('Bilan des comptes'!C:C&lt;&gt;"", ROW('Bilan des comptes'!C:C)), ROW(4:4))), "")</f>
        <v>Coffre</v>
      </c>
    </row>
    <row r="32" spans="1:26" x14ac:dyDescent="0.35">
      <c r="A32" s="31" t="str" cm="1">
        <f t="array" ref="A32">IFERROR(INDEX('Bilan des comptes'!C:C, SMALL(IF('Bilan des comptes'!C:C&lt;&gt;"", ROW('Bilan des comptes'!C:C)), ROW(5:5))), "")</f>
        <v>Créances ITR</v>
      </c>
    </row>
    <row r="33" spans="1:1" x14ac:dyDescent="0.35">
      <c r="A33" s="31" t="str" cm="1">
        <f t="array" ref="A33">IFERROR(INDEX('Bilan des comptes'!C:C, SMALL(IF('Bilan des comptes'!C:C&lt;&gt;"", ROW('Bilan des comptes'!C:C)), ROW(6:6))), "")</f>
        <v>Créances IEEE</v>
      </c>
    </row>
    <row r="34" spans="1:1" x14ac:dyDescent="0.35">
      <c r="A34" s="31" t="str" cm="1">
        <f t="array" ref="A34">IFERROR(INDEX('Bilan des comptes'!C:C, SMALL(IF('Bilan des comptes'!C:C&lt;&gt;"", ROW('Bilan des comptes'!C:C)), ROW(7:7))), "")</f>
        <v>Créances Mécabuck</v>
      </c>
    </row>
    <row r="35" spans="1:1" x14ac:dyDescent="0.35">
      <c r="A35" s="31" t="str" cm="1">
        <f t="array" ref="A35">IFERROR(INDEX('Bilan des comptes'!C:C, SMALL(IF('Bilan des comptes'!C:C&lt;&gt;"", ROW('Bilan des comptes'!C:C)), ROW(8:8))), "")</f>
        <v>Factures non payées</v>
      </c>
    </row>
    <row r="36" spans="1:1" x14ac:dyDescent="0.35">
      <c r="A36" s="31" t="str" cm="1">
        <f t="array" ref="A36">IFERROR(INDEX('Bilan des comptes'!C:C, SMALL(IF('Bilan des comptes'!C:C&lt;&gt;"", ROW('Bilan des comptes'!C:C)), ROW(9:9))), "")</f>
        <v>Présidence</v>
      </c>
    </row>
    <row r="37" spans="1:1" x14ac:dyDescent="0.35">
      <c r="A37" s="31" t="str" cm="1">
        <f t="array" ref="A37">IFERROR(INDEX('Bilan des comptes'!C:C, SMALL(IF('Bilan des comptes'!C:C&lt;&gt;"", ROW('Bilan des comptes'!C:C)), ROW(10:10))), "")</f>
        <v>Vice-Présidence</v>
      </c>
    </row>
    <row r="38" spans="1:1" x14ac:dyDescent="0.35">
      <c r="A38" s="31" t="str" cm="1">
        <f t="array" ref="A38">IFERROR(INDEX('Bilan des comptes'!C:C, SMALL(IF('Bilan des comptes'!C:C&lt;&gt;"", ROW('Bilan des comptes'!C:C)), ROW(11:11))), "")</f>
        <v>VP Trésorerie</v>
      </c>
    </row>
    <row r="39" spans="1:1" x14ac:dyDescent="0.35">
      <c r="A39" s="31" t="str" cm="1">
        <f t="array" ref="A39">IFERROR(INDEX('Bilan des comptes'!C:C, SMALL(IF('Bilan des comptes'!C:C&lt;&gt;"", ROW('Bilan des comptes'!C:C)), ROW(12:12))), "")</f>
        <v>VP Secrétariat</v>
      </c>
    </row>
    <row r="40" spans="1:1" x14ac:dyDescent="0.35">
      <c r="A40" s="31" t="str" cm="1">
        <f t="array" ref="A40">IFERROR(INDEX('Bilan des comptes'!C:C, SMALL(IF('Bilan des comptes'!C:C&lt;&gt;"", ROW('Bilan des comptes'!C:C)), ROW(13:13))), "")</f>
        <v>VP Centre McNaughton</v>
      </c>
    </row>
    <row r="41" spans="1:1" x14ac:dyDescent="0.35">
      <c r="A41" s="31" t="str" cm="1">
        <f t="array" ref="A41">IFERROR(INDEX('Bilan des comptes'!C:C, SMALL(IF('Bilan des comptes'!C:C&lt;&gt;"", ROW('Bilan des comptes'!C:C)), ROW(14:14))), "")</f>
        <v>VP Communications</v>
      </c>
    </row>
    <row r="42" spans="1:1" x14ac:dyDescent="0.35">
      <c r="A42" s="31" t="str" cm="1">
        <f t="array" ref="A42">IFERROR(INDEX('Bilan des comptes'!C:C, SMALL(IF('Bilan des comptes'!C:C&lt;&gt;"", ROW('Bilan des comptes'!C:C)), ROW(15:15))), "")</f>
        <v>VP Activités socioculturelles</v>
      </c>
    </row>
    <row r="43" spans="1:1" x14ac:dyDescent="0.35">
      <c r="A43" s="31" t="str" cm="1">
        <f t="array" ref="A43">IFERROR(INDEX('Bilan des comptes'!C:C, SMALL(IF('Bilan des comptes'!C:C&lt;&gt;"", ROW('Bilan des comptes'!C:C)), ROW(16:16))), "")</f>
        <v>VP Commandites</v>
      </c>
    </row>
    <row r="44" spans="1:1" x14ac:dyDescent="0.35">
      <c r="A44" s="31" t="str" cm="1">
        <f t="array" ref="A44">IFERROR(INDEX('Bilan des comptes'!C:C, SMALL(IF('Bilan des comptes'!C:C&lt;&gt;"", ROW('Bilan des comptes'!C:C)), ROW(17:17))), "")</f>
        <v/>
      </c>
    </row>
    <row r="45" spans="1:1" x14ac:dyDescent="0.35">
      <c r="A45" s="31" t="str" cm="1">
        <f t="array" ref="A45">IFERROR(INDEX('Bilan des comptes'!C:C, SMALL(IF('Bilan des comptes'!C:C&lt;&gt;"", ROW('Bilan des comptes'!C:C)), ROW(18:18))), "")</f>
        <v/>
      </c>
    </row>
    <row r="46" spans="1:1" x14ac:dyDescent="0.35">
      <c r="A46" s="31" t="str" cm="1">
        <f t="array" ref="A46">IFERROR(INDEX('Bilan des comptes'!C:C, SMALL(IF('Bilan des comptes'!C:C&lt;&gt;"", ROW('Bilan des comptes'!C:C)), ROW(19:19))), "")</f>
        <v/>
      </c>
    </row>
    <row r="47" spans="1:1" x14ac:dyDescent="0.35">
      <c r="A47" s="31" t="str" cm="1">
        <f t="array" ref="A47">IFERROR(INDEX('Bilan des comptes'!C:C, SMALL(IF('Bilan des comptes'!C:C&lt;&gt;"", ROW('Bilan des comptes'!C:C)), ROW(20:20))), "")</f>
        <v/>
      </c>
    </row>
    <row r="48" spans="1:1" x14ac:dyDescent="0.35">
      <c r="A48" s="31" t="str" cm="1">
        <f t="array" ref="A48">IFERROR(INDEX('Bilan des comptes'!C:C, SMALL(IF('Bilan des comptes'!C:C&lt;&gt;"", ROW('Bilan des comptes'!C:C)), ROW(21:21))), "")</f>
        <v/>
      </c>
    </row>
    <row r="49" spans="1:1" x14ac:dyDescent="0.35">
      <c r="A49" s="31" t="str" cm="1">
        <f t="array" ref="A49">IFERROR(INDEX('Bilan des comptes'!C:C, SMALL(IF('Bilan des comptes'!C:C&lt;&gt;"", ROW('Bilan des comptes'!C:C)), ROW(22:22))), "")</f>
        <v/>
      </c>
    </row>
    <row r="50" spans="1:1" x14ac:dyDescent="0.35">
      <c r="A50" s="31" t="str" cm="1">
        <f t="array" ref="A50">IFERROR(INDEX('Bilan des comptes'!C:C, SMALL(IF('Bilan des comptes'!C:C&lt;&gt;"", ROW('Bilan des comptes'!C:C)), ROW(23:23))), "")</f>
        <v/>
      </c>
    </row>
    <row r="51" spans="1:1" x14ac:dyDescent="0.35">
      <c r="A51" s="31" t="str" cm="1">
        <f t="array" ref="A51">IFERROR(INDEX('Bilan des comptes'!C:C, SMALL(IF('Bilan des comptes'!C:C&lt;&gt;"", ROW('Bilan des comptes'!C:C)), ROW(24:24))), "")</f>
        <v/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Lock_All">
                <anchor moveWithCells="1" sizeWithCells="1">
                  <from>
                    <xdr:col>2</xdr:col>
                    <xdr:colOff>57150</xdr:colOff>
                    <xdr:row>26</xdr:row>
                    <xdr:rowOff>19050</xdr:rowOff>
                  </from>
                  <to>
                    <xdr:col>3</xdr:col>
                    <xdr:colOff>914400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Unlock_All">
                <anchor moveWithCells="1" sizeWithCells="1">
                  <from>
                    <xdr:col>2</xdr:col>
                    <xdr:colOff>57150</xdr:colOff>
                    <xdr:row>29</xdr:row>
                    <xdr:rowOff>19050</xdr:rowOff>
                  </from>
                  <to>
                    <xdr:col>3</xdr:col>
                    <xdr:colOff>914400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1027">
              <controlPr defaultSize="0" print="0" autoFill="0" autoPict="0" macro="[0]!MAJ_Ajd">
                <anchor moveWithCells="1" sizeWithCells="1">
                  <from>
                    <xdr:col>4</xdr:col>
                    <xdr:colOff>38100</xdr:colOff>
                    <xdr:row>29</xdr:row>
                    <xdr:rowOff>19050</xdr:rowOff>
                  </from>
                  <to>
                    <xdr:col>5</xdr:col>
                    <xdr:colOff>895350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534C8-A72F-4BCE-B8E2-832988BEB2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Sommaire</vt:lpstr>
      <vt:lpstr>Journal général</vt:lpstr>
      <vt:lpstr>Bilan des comptes</vt:lpstr>
      <vt:lpstr>Suivi budgétaire</vt:lpstr>
      <vt:lpstr>Prévision</vt:lpstr>
      <vt:lpstr>Passation</vt:lpstr>
      <vt:lpstr>États financiers</vt:lpstr>
      <vt:lpstr>Listes</vt:lpstr>
      <vt:lpstr>ajd</vt:lpstr>
      <vt:lpstr>'États financiers'!categories</vt:lpstr>
      <vt:lpstr>Passation!categories</vt:lpstr>
      <vt:lpstr>categories</vt:lpstr>
      <vt:lpstr>comptes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Sébastien Cabana</dc:creator>
  <cp:keywords/>
  <dc:description/>
  <cp:lastModifiedBy>Cabana, Sébastien</cp:lastModifiedBy>
  <cp:revision/>
  <cp:lastPrinted>2025-06-15T16:17:26Z</cp:lastPrinted>
  <dcterms:created xsi:type="dcterms:W3CDTF">2015-06-05T18:17:20Z</dcterms:created>
  <dcterms:modified xsi:type="dcterms:W3CDTF">2025-06-15T20:05:57Z</dcterms:modified>
  <cp:category/>
  <cp:contentStatus/>
</cp:coreProperties>
</file>